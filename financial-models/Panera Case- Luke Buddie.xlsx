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buddie/Downloads/"/>
    </mc:Choice>
  </mc:AlternateContent>
  <xr:revisionPtr revIDLastSave="0" documentId="8_{04306576-6E44-8445-9724-4DA3E00B84A5}" xr6:coauthVersionLast="47" xr6:coauthVersionMax="47" xr10:uidLastSave="{00000000-0000-0000-0000-000000000000}"/>
  <bookViews>
    <workbookView xWindow="680" yWindow="500" windowWidth="28120" windowHeight="16100" tabRatio="711" activeTab="3" xr2:uid="{00000000-000D-0000-FFFF-FFFF00000000}"/>
  </bookViews>
  <sheets>
    <sheet name="Income Statement" sheetId="9" r:id="rId1"/>
    <sheet name="Balance Sheet" sheetId="15" r:id="rId2"/>
    <sheet name="Cash Flow Statement" sheetId="17" r:id="rId3"/>
    <sheet name="Ratio &amp; Assumptions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9" l="1"/>
  <c r="I29" i="9"/>
  <c r="K38" i="16"/>
  <c r="J38" i="16"/>
  <c r="I38" i="16"/>
  <c r="I17" i="15" s="1"/>
  <c r="I20" i="15"/>
  <c r="I16" i="15"/>
  <c r="I11" i="15"/>
  <c r="I25" i="9" l="1"/>
  <c r="M21" i="9"/>
  <c r="L21" i="9"/>
  <c r="K21" i="9"/>
  <c r="J21" i="9"/>
  <c r="J20" i="9"/>
  <c r="I21" i="9"/>
  <c r="M11" i="15"/>
  <c r="L11" i="15"/>
  <c r="K11" i="15"/>
  <c r="H11" i="17" s="1"/>
  <c r="J11" i="15"/>
  <c r="F11" i="17" s="1"/>
  <c r="K36" i="16"/>
  <c r="J36" i="16"/>
  <c r="I36" i="16"/>
  <c r="I17" i="17"/>
  <c r="I15" i="17"/>
  <c r="I12" i="17"/>
  <c r="I11" i="17"/>
  <c r="H17" i="17"/>
  <c r="H15" i="17"/>
  <c r="H12" i="17"/>
  <c r="G17" i="17"/>
  <c r="G15" i="17"/>
  <c r="G12" i="17"/>
  <c r="F17" i="17"/>
  <c r="M25" i="15"/>
  <c r="L25" i="15"/>
  <c r="K25" i="15"/>
  <c r="J25" i="15"/>
  <c r="F15" i="17" s="1"/>
  <c r="J20" i="15"/>
  <c r="K20" i="15" s="1"/>
  <c r="L20" i="15" s="1"/>
  <c r="M20" i="15" s="1"/>
  <c r="I18" i="15"/>
  <c r="J16" i="15"/>
  <c r="M12" i="15"/>
  <c r="L12" i="15"/>
  <c r="K12" i="15"/>
  <c r="J12" i="15"/>
  <c r="I12" i="15"/>
  <c r="E11" i="17"/>
  <c r="F12" i="17"/>
  <c r="I25" i="15"/>
  <c r="E25" i="17"/>
  <c r="E17" i="17"/>
  <c r="E15" i="17"/>
  <c r="E12" i="17"/>
  <c r="E8" i="17"/>
  <c r="F3" i="17"/>
  <c r="G3" i="17" s="1"/>
  <c r="H3" i="17" s="1"/>
  <c r="I3" i="17" s="1"/>
  <c r="I17" i="9"/>
  <c r="I27" i="9"/>
  <c r="K27" i="9"/>
  <c r="G8" i="17" s="1"/>
  <c r="J17" i="15"/>
  <c r="M40" i="16"/>
  <c r="L40" i="16"/>
  <c r="K40" i="16"/>
  <c r="M18" i="9"/>
  <c r="L18" i="9"/>
  <c r="J18" i="9"/>
  <c r="I18" i="9"/>
  <c r="I16" i="9"/>
  <c r="M16" i="9"/>
  <c r="L16" i="9"/>
  <c r="K16" i="9"/>
  <c r="J16" i="9"/>
  <c r="L15" i="9"/>
  <c r="J15" i="9"/>
  <c r="M15" i="9"/>
  <c r="K15" i="9"/>
  <c r="I15" i="9"/>
  <c r="I12" i="16"/>
  <c r="J31" i="9"/>
  <c r="H30" i="15"/>
  <c r="J40" i="16"/>
  <c r="J39" i="16"/>
  <c r="M36" i="16"/>
  <c r="L36" i="16"/>
  <c r="I10" i="16"/>
  <c r="I11" i="16" s="1"/>
  <c r="J10" i="16"/>
  <c r="J11" i="16" s="1"/>
  <c r="K10" i="16"/>
  <c r="L10" i="16"/>
  <c r="M10" i="16"/>
  <c r="K17" i="15" l="1"/>
  <c r="L38" i="16"/>
  <c r="L27" i="9" s="1"/>
  <c r="H8" i="17" s="1"/>
  <c r="J27" i="9"/>
  <c r="F8" i="17" s="1"/>
  <c r="J18" i="15"/>
  <c r="K16" i="15"/>
  <c r="L16" i="15" s="1"/>
  <c r="M16" i="15" s="1"/>
  <c r="G11" i="17"/>
  <c r="K39" i="16"/>
  <c r="K31" i="9"/>
  <c r="L39" i="16"/>
  <c r="M39" i="16" s="1"/>
  <c r="I28" i="9"/>
  <c r="J28" i="9" s="1"/>
  <c r="K28" i="9" s="1"/>
  <c r="L28" i="9" s="1"/>
  <c r="M28" i="9" s="1"/>
  <c r="J18" i="16"/>
  <c r="J17" i="9" s="1"/>
  <c r="J33" i="16"/>
  <c r="K33" i="16" s="1"/>
  <c r="L33" i="16" s="1"/>
  <c r="M33" i="16" s="1"/>
  <c r="J30" i="16"/>
  <c r="K30" i="16" s="1"/>
  <c r="L30" i="16" s="1"/>
  <c r="M30" i="16" s="1"/>
  <c r="K29" i="16"/>
  <c r="L29" i="16" s="1"/>
  <c r="M29" i="16" s="1"/>
  <c r="J29" i="16"/>
  <c r="J25" i="16"/>
  <c r="K25" i="16" s="1"/>
  <c r="L25" i="16" s="1"/>
  <c r="M25" i="16" s="1"/>
  <c r="K18" i="9"/>
  <c r="M11" i="16"/>
  <c r="M12" i="16" s="1"/>
  <c r="L11" i="16"/>
  <c r="L12" i="16" s="1"/>
  <c r="K11" i="16"/>
  <c r="K12" i="16" s="1"/>
  <c r="J12" i="16"/>
  <c r="I9" i="9"/>
  <c r="H21" i="16"/>
  <c r="M38" i="16" l="1"/>
  <c r="M27" i="9" s="1"/>
  <c r="I8" i="17" s="1"/>
  <c r="L17" i="15"/>
  <c r="K18" i="15"/>
  <c r="M17" i="15"/>
  <c r="M18" i="15" s="1"/>
  <c r="L18" i="15"/>
  <c r="K18" i="16"/>
  <c r="L31" i="9"/>
  <c r="I19" i="9"/>
  <c r="I20" i="9" s="1"/>
  <c r="I10" i="9"/>
  <c r="J10" i="9" s="1"/>
  <c r="I11" i="9"/>
  <c r="J9" i="9"/>
  <c r="K9" i="9" s="1"/>
  <c r="L9" i="9" s="1"/>
  <c r="M9" i="9" s="1"/>
  <c r="L18" i="16" l="1"/>
  <c r="K17" i="9"/>
  <c r="M31" i="9"/>
  <c r="J11" i="9"/>
  <c r="J12" i="9" s="1"/>
  <c r="I23" i="9"/>
  <c r="I24" i="9" s="1"/>
  <c r="J19" i="9"/>
  <c r="K10" i="9"/>
  <c r="I12" i="9"/>
  <c r="I13" i="9" s="1"/>
  <c r="M18" i="16" l="1"/>
  <c r="M17" i="9" s="1"/>
  <c r="L17" i="9"/>
  <c r="K11" i="9"/>
  <c r="K12" i="9" s="1"/>
  <c r="K13" i="9" s="1"/>
  <c r="J23" i="9"/>
  <c r="J24" i="9" s="1"/>
  <c r="J25" i="9" s="1"/>
  <c r="K19" i="9"/>
  <c r="K20" i="9" s="1"/>
  <c r="L10" i="9"/>
  <c r="J13" i="9"/>
  <c r="I32" i="9" l="1"/>
  <c r="I33" i="9" s="1"/>
  <c r="I24" i="15"/>
  <c r="I13" i="15"/>
  <c r="I34" i="9"/>
  <c r="J29" i="9"/>
  <c r="L11" i="9"/>
  <c r="L12" i="9" s="1"/>
  <c r="L13" i="9" s="1"/>
  <c r="K23" i="9"/>
  <c r="K24" i="9" s="1"/>
  <c r="K25" i="9" s="1"/>
  <c r="M19" i="9"/>
  <c r="M20" i="9" s="1"/>
  <c r="L19" i="9"/>
  <c r="L20" i="9" s="1"/>
  <c r="M10" i="9"/>
  <c r="J32" i="9" l="1"/>
  <c r="J33" i="9" s="1"/>
  <c r="J13" i="15"/>
  <c r="F14" i="17" s="1"/>
  <c r="J30" i="9"/>
  <c r="J24" i="15"/>
  <c r="I26" i="15"/>
  <c r="E13" i="17"/>
  <c r="E14" i="17"/>
  <c r="I29" i="15"/>
  <c r="E5" i="17"/>
  <c r="J34" i="9"/>
  <c r="K29" i="9"/>
  <c r="M11" i="9"/>
  <c r="M23" i="9" s="1"/>
  <c r="M24" i="9" s="1"/>
  <c r="M25" i="9" s="1"/>
  <c r="L23" i="9"/>
  <c r="L24" i="9" s="1"/>
  <c r="L25" i="9" s="1"/>
  <c r="F13" i="17" l="1"/>
  <c r="J26" i="15"/>
  <c r="K32" i="9"/>
  <c r="K33" i="9" s="1"/>
  <c r="K34" i="9" s="1"/>
  <c r="G5" i="17" s="1"/>
  <c r="K30" i="9"/>
  <c r="K24" i="15"/>
  <c r="K13" i="15"/>
  <c r="G14" i="17" s="1"/>
  <c r="E19" i="17"/>
  <c r="E22" i="17" s="1"/>
  <c r="F5" i="17"/>
  <c r="F19" i="17" s="1"/>
  <c r="F22" i="17" s="1"/>
  <c r="J29" i="15"/>
  <c r="L29" i="9"/>
  <c r="M12" i="9"/>
  <c r="K26" i="15" l="1"/>
  <c r="G13" i="17"/>
  <c r="G19" i="17" s="1"/>
  <c r="G22" i="17" s="1"/>
  <c r="K29" i="15"/>
  <c r="L32" i="9"/>
  <c r="L33" i="9" s="1"/>
  <c r="L34" i="9" s="1"/>
  <c r="H5" i="17" s="1"/>
  <c r="L13" i="15"/>
  <c r="L30" i="9"/>
  <c r="L24" i="15"/>
  <c r="E21" i="17"/>
  <c r="M29" i="9"/>
  <c r="M13" i="9"/>
  <c r="E23" i="17" l="1"/>
  <c r="I10" i="15" s="1"/>
  <c r="I14" i="15" s="1"/>
  <c r="I21" i="15" s="1"/>
  <c r="I28" i="15"/>
  <c r="I30" i="15" s="1"/>
  <c r="L29" i="15"/>
  <c r="M32" i="9"/>
  <c r="M33" i="9" s="1"/>
  <c r="M34" i="9" s="1"/>
  <c r="I5" i="17" s="1"/>
  <c r="M13" i="15"/>
  <c r="M30" i="9"/>
  <c r="M24" i="15"/>
  <c r="I14" i="17"/>
  <c r="H14" i="17"/>
  <c r="H19" i="17" s="1"/>
  <c r="H22" i="17" s="1"/>
  <c r="L26" i="15"/>
  <c r="H13" i="17"/>
  <c r="M29" i="15"/>
  <c r="I31" i="15" l="1"/>
  <c r="F25" i="17"/>
  <c r="F21" i="17" s="1"/>
  <c r="F23" i="17" s="1"/>
  <c r="J10" i="15" s="1"/>
  <c r="J14" i="15" s="1"/>
  <c r="J21" i="15" s="1"/>
  <c r="M26" i="15"/>
  <c r="I13" i="17"/>
  <c r="I19" i="17"/>
  <c r="I22" i="17" s="1"/>
  <c r="J28" i="15" l="1"/>
  <c r="J30" i="15" l="1"/>
  <c r="J31" i="15" s="1"/>
  <c r="G25" i="17"/>
  <c r="G21" i="17" s="1"/>
  <c r="G23" i="17" l="1"/>
  <c r="K10" i="15" s="1"/>
  <c r="K14" i="15" s="1"/>
  <c r="K21" i="15" s="1"/>
  <c r="K28" i="15"/>
  <c r="K30" i="15" l="1"/>
  <c r="K31" i="15" s="1"/>
  <c r="H25" i="17"/>
  <c r="H21" i="17" s="1"/>
  <c r="H23" i="17" s="1"/>
  <c r="L10" i="15" s="1"/>
  <c r="L14" i="15" s="1"/>
  <c r="L21" i="15" s="1"/>
  <c r="L28" i="15" l="1"/>
  <c r="I25" i="17" l="1"/>
  <c r="I21" i="17" s="1"/>
  <c r="L30" i="15"/>
  <c r="L31" i="15" s="1"/>
  <c r="I23" i="17" l="1"/>
  <c r="M10" i="15" s="1"/>
  <c r="M14" i="15" s="1"/>
  <c r="M21" i="15" s="1"/>
  <c r="M28" i="15"/>
  <c r="M30" i="15" s="1"/>
  <c r="M31" i="15" l="1"/>
</calcChain>
</file>

<file path=xl/sharedStrings.xml><?xml version="1.0" encoding="utf-8"?>
<sst xmlns="http://schemas.openxmlformats.org/spreadsheetml/2006/main" count="119" uniqueCount="79">
  <si>
    <t>Revenue</t>
  </si>
  <si>
    <t>Tax</t>
  </si>
  <si>
    <t>Equity</t>
  </si>
  <si>
    <t>Debt</t>
  </si>
  <si>
    <t>Inventory</t>
  </si>
  <si>
    <t>Forecast</t>
  </si>
  <si>
    <t>(in thousands of dollars)</t>
  </si>
  <si>
    <t>Panera Bread Company</t>
  </si>
  <si>
    <t>Interest expense</t>
  </si>
  <si>
    <t>Pretax profit</t>
  </si>
  <si>
    <t xml:space="preserve">  Net income</t>
  </si>
  <si>
    <t>Property, plant, and equipment</t>
  </si>
  <si>
    <t xml:space="preserve">  Current liabilities</t>
  </si>
  <si>
    <t>Total liabilities and equity</t>
  </si>
  <si>
    <t>Income Statement</t>
  </si>
  <si>
    <t>Balance Sheet</t>
  </si>
  <si>
    <t>Assets</t>
  </si>
  <si>
    <t xml:space="preserve">  Goodwill and other assets</t>
  </si>
  <si>
    <t>Operating liabilities</t>
  </si>
  <si>
    <t xml:space="preserve">  Deferred rent and other liabilities</t>
  </si>
  <si>
    <t>Historical</t>
  </si>
  <si>
    <t>Actual</t>
  </si>
  <si>
    <t>Est (9/3)</t>
  </si>
  <si>
    <t>Total Cost of Goods Sold</t>
  </si>
  <si>
    <t>EBIT</t>
  </si>
  <si>
    <t>Bakery- Café Sales</t>
  </si>
  <si>
    <t>Franchise Royalties and Fess</t>
  </si>
  <si>
    <t>Commissary Sales to Franchisees</t>
  </si>
  <si>
    <t>Bakery Cost of Sales</t>
  </si>
  <si>
    <t>Food</t>
  </si>
  <si>
    <t>Labor</t>
  </si>
  <si>
    <t>Occupancy</t>
  </si>
  <si>
    <t>Other</t>
  </si>
  <si>
    <t>Bakery Gross Margin</t>
  </si>
  <si>
    <t>Commisary Cost of Sales</t>
  </si>
  <si>
    <t>Bakery Gross Profit</t>
  </si>
  <si>
    <t>Commisary Gross Profit</t>
  </si>
  <si>
    <t>Depreciation</t>
  </si>
  <si>
    <t>General and administrative</t>
  </si>
  <si>
    <t>Sales Growth</t>
  </si>
  <si>
    <t>Commisary Gross Margin</t>
  </si>
  <si>
    <t>Current Assets</t>
  </si>
  <si>
    <t>Cash</t>
  </si>
  <si>
    <t>A/R</t>
  </si>
  <si>
    <t>Prepaid &amp; Other</t>
  </si>
  <si>
    <t>Ratios &amp; Assumptions</t>
  </si>
  <si>
    <t>General and administrative growth</t>
  </si>
  <si>
    <t>Effective Tax Rate</t>
  </si>
  <si>
    <t>A/R Days Total</t>
  </si>
  <si>
    <t>A/R Days Franchise</t>
  </si>
  <si>
    <t>Accumulated Depreciation</t>
  </si>
  <si>
    <t>Property, plant, and equipment, net</t>
  </si>
  <si>
    <t>CAPEX</t>
  </si>
  <si>
    <t>Amortization</t>
  </si>
  <si>
    <t>Depreciation &amp; Amortization</t>
  </si>
  <si>
    <t>N/A</t>
  </si>
  <si>
    <t>A/P and Accrual Days</t>
  </si>
  <si>
    <t>Working Capital</t>
  </si>
  <si>
    <t>Depreciation Avg Yrs</t>
  </si>
  <si>
    <t>Cash Balance Needed</t>
  </si>
  <si>
    <t>Deferred Rent and Other Liab</t>
  </si>
  <si>
    <t>Check</t>
  </si>
  <si>
    <t>Debt Borrowing Rate</t>
  </si>
  <si>
    <t>Expected store count</t>
  </si>
  <si>
    <t>Net Income</t>
  </si>
  <si>
    <t>Operating Activities</t>
  </si>
  <si>
    <t>Inventory (Decrease, (increase))</t>
  </si>
  <si>
    <t>Prepaid expenses</t>
  </si>
  <si>
    <t>Deferred Revenue</t>
  </si>
  <si>
    <t>Increase in other long-term assets</t>
  </si>
  <si>
    <t>Depreciation + Amortization</t>
  </si>
  <si>
    <t>Change in NWC</t>
  </si>
  <si>
    <t>A/P ((decrease), increase)</t>
  </si>
  <si>
    <t>Debt Balance</t>
  </si>
  <si>
    <t>Cash Flow Available</t>
  </si>
  <si>
    <t>Debt Pay Down</t>
  </si>
  <si>
    <t>Debt Borrowings</t>
  </si>
  <si>
    <t>Increase in Cash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</si>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</sst>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.0_);_(* \(#,##0.0\);_(* &quot;-&quot;??_);_(@_)"/>
    <numFmt numFmtId="167" formatCode="_(* #,##0_);_(* \(#,##0\);_(* &quot;-&quot;??_);_(@_)"/>
  </numFmts>
  <fonts count="18" x14ac:knownFonts="1">
    <font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18"/>
      <color theme="1"/>
      <name val="Times New Roman"/>
      <family val="1"/>
    </font>
    <font>
      <b/>
      <sz val="14"/>
      <color theme="1"/>
      <name val="Times New Roman"/>
      <family val="1"/>
    </font>
    <font>
      <u val="singleAccounting"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4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right"/>
    </xf>
    <xf numFmtId="3" fontId="5" fillId="0" borderId="1" xfId="0" applyNumberFormat="1" applyFont="1" applyBorder="1"/>
    <xf numFmtId="164" fontId="7" fillId="0" borderId="0" xfId="4" applyNumberFormat="1" applyFont="1" applyBorder="1"/>
    <xf numFmtId="0" fontId="8" fillId="0" borderId="0" xfId="0" applyFont="1"/>
    <xf numFmtId="0" fontId="6" fillId="0" borderId="4" xfId="0" applyFont="1" applyBorder="1" applyAlignment="1">
      <alignment horizontal="right"/>
    </xf>
    <xf numFmtId="164" fontId="7" fillId="0" borderId="3" xfId="4" applyNumberFormat="1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0" fontId="12" fillId="0" borderId="0" xfId="0" applyFont="1"/>
    <xf numFmtId="0" fontId="10" fillId="0" borderId="0" xfId="0" applyFont="1"/>
    <xf numFmtId="0" fontId="9" fillId="0" borderId="3" xfId="0" applyFont="1" applyBorder="1" applyAlignment="1">
      <alignment horizontal="right"/>
    </xf>
    <xf numFmtId="3" fontId="5" fillId="0" borderId="0" xfId="0" applyNumberFormat="1" applyFont="1"/>
    <xf numFmtId="9" fontId="5" fillId="0" borderId="0" xfId="4" applyFont="1" applyBorder="1"/>
    <xf numFmtId="9" fontId="10" fillId="0" borderId="0" xfId="4" applyFont="1" applyBorder="1"/>
    <xf numFmtId="3" fontId="14" fillId="0" borderId="0" xfId="0" applyNumberFormat="1" applyFont="1"/>
    <xf numFmtId="165" fontId="5" fillId="0" borderId="2" xfId="6" applyNumberFormat="1" applyFont="1" applyBorder="1"/>
    <xf numFmtId="0" fontId="10" fillId="0" borderId="0" xfId="0" applyFont="1" applyAlignment="1">
      <alignment horizontal="right"/>
    </xf>
    <xf numFmtId="165" fontId="5" fillId="0" borderId="0" xfId="0" applyNumberFormat="1" applyFont="1"/>
    <xf numFmtId="167" fontId="5" fillId="0" borderId="0" xfId="5" applyNumberFormat="1" applyFont="1" applyBorder="1"/>
    <xf numFmtId="167" fontId="13" fillId="0" borderId="0" xfId="5" applyNumberFormat="1" applyFont="1" applyBorder="1"/>
    <xf numFmtId="165" fontId="5" fillId="0" borderId="0" xfId="6" applyNumberFormat="1" applyFont="1" applyBorder="1"/>
    <xf numFmtId="164" fontId="10" fillId="0" borderId="0" xfId="4" applyNumberFormat="1" applyFont="1" applyBorder="1"/>
    <xf numFmtId="165" fontId="5" fillId="0" borderId="3" xfId="0" applyNumberFormat="1" applyFont="1" applyBorder="1"/>
    <xf numFmtId="167" fontId="5" fillId="0" borderId="3" xfId="5" applyNumberFormat="1" applyFont="1" applyBorder="1"/>
    <xf numFmtId="167" fontId="13" fillId="0" borderId="3" xfId="5" applyNumberFormat="1" applyFont="1" applyBorder="1"/>
    <xf numFmtId="165" fontId="5" fillId="0" borderId="3" xfId="6" applyNumberFormat="1" applyFont="1" applyBorder="1"/>
    <xf numFmtId="164" fontId="10" fillId="0" borderId="3" xfId="4" applyNumberFormat="1" applyFont="1" applyBorder="1"/>
    <xf numFmtId="3" fontId="14" fillId="0" borderId="3" xfId="0" applyNumberFormat="1" applyFont="1" applyBorder="1"/>
    <xf numFmtId="9" fontId="10" fillId="0" borderId="3" xfId="4" applyFont="1" applyBorder="1"/>
    <xf numFmtId="165" fontId="5" fillId="0" borderId="5" xfId="6" applyNumberFormat="1" applyFont="1" applyBorder="1"/>
    <xf numFmtId="0" fontId="6" fillId="2" borderId="0" xfId="0" applyFont="1" applyFill="1"/>
    <xf numFmtId="1" fontId="5" fillId="0" borderId="0" xfId="0" applyNumberFormat="1" applyFont="1"/>
    <xf numFmtId="167" fontId="5" fillId="0" borderId="1" xfId="5" applyNumberFormat="1" applyFont="1" applyBorder="1"/>
    <xf numFmtId="166" fontId="5" fillId="0" borderId="0" xfId="5" applyNumberFormat="1" applyFont="1" applyBorder="1"/>
    <xf numFmtId="166" fontId="5" fillId="0" borderId="3" xfId="5" applyNumberFormat="1" applyFont="1" applyBorder="1"/>
    <xf numFmtId="0" fontId="5" fillId="0" borderId="0" xfId="0" applyFont="1" applyAlignment="1">
      <alignment horizontal="right"/>
    </xf>
    <xf numFmtId="1" fontId="5" fillId="0" borderId="3" xfId="0" applyNumberFormat="1" applyFont="1" applyBorder="1"/>
    <xf numFmtId="0" fontId="5" fillId="0" borderId="3" xfId="0" applyFont="1" applyBorder="1"/>
    <xf numFmtId="167" fontId="5" fillId="0" borderId="4" xfId="5" applyNumberFormat="1" applyFont="1" applyBorder="1"/>
    <xf numFmtId="0" fontId="15" fillId="0" borderId="0" xfId="0" applyFont="1"/>
    <xf numFmtId="0" fontId="12" fillId="0" borderId="1" xfId="0" applyFont="1" applyBorder="1" applyAlignment="1">
      <alignment horizontal="right"/>
    </xf>
    <xf numFmtId="0" fontId="16" fillId="0" borderId="0" xfId="0" applyFont="1"/>
    <xf numFmtId="164" fontId="5" fillId="0" borderId="3" xfId="4" applyNumberFormat="1" applyFont="1" applyFill="1" applyBorder="1"/>
    <xf numFmtId="165" fontId="5" fillId="2" borderId="0" xfId="0" applyNumberFormat="1" applyFont="1" applyFill="1"/>
    <xf numFmtId="0" fontId="5" fillId="2" borderId="0" xfId="0" applyFont="1" applyFill="1" applyAlignment="1">
      <alignment horizontal="right"/>
    </xf>
    <xf numFmtId="9" fontId="0" fillId="0" borderId="0" xfId="0" applyNumberFormat="1"/>
    <xf numFmtId="3" fontId="0" fillId="0" borderId="0" xfId="0" applyNumberFormat="1"/>
    <xf numFmtId="167" fontId="5" fillId="0" borderId="0" xfId="5" applyNumberFormat="1" applyFont="1" applyFill="1" applyBorder="1"/>
    <xf numFmtId="0" fontId="6" fillId="0" borderId="7" xfId="0" applyFont="1" applyBorder="1"/>
    <xf numFmtId="0" fontId="6" fillId="0" borderId="6" xfId="0" applyFont="1" applyBorder="1"/>
    <xf numFmtId="0" fontId="12" fillId="0" borderId="7" xfId="0" applyFont="1" applyBorder="1"/>
    <xf numFmtId="165" fontId="0" fillId="0" borderId="0" xfId="0" applyNumberFormat="1"/>
    <xf numFmtId="9" fontId="5" fillId="0" borderId="0" xfId="4" applyFont="1"/>
    <xf numFmtId="9" fontId="5" fillId="0" borderId="3" xfId="4" applyFont="1" applyBorder="1"/>
    <xf numFmtId="164" fontId="5" fillId="0" borderId="3" xfId="4" applyNumberFormat="1" applyFont="1" applyBorder="1"/>
    <xf numFmtId="164" fontId="5" fillId="0" borderId="0" xfId="4" applyNumberFormat="1" applyFont="1" applyFill="1" applyBorder="1"/>
    <xf numFmtId="166" fontId="5" fillId="0" borderId="0" xfId="5" applyNumberFormat="1" applyFont="1" applyFill="1" applyBorder="1"/>
    <xf numFmtId="9" fontId="5" fillId="0" borderId="0" xfId="0" applyNumberFormat="1" applyFont="1"/>
    <xf numFmtId="0" fontId="17" fillId="0" borderId="0" xfId="0" applyFont="1"/>
    <xf numFmtId="0" fontId="5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44" fontId="3" fillId="0" borderId="0" xfId="6" applyFont="1"/>
    <xf numFmtId="0" fontId="6" fillId="0" borderId="0" xfId="0" applyFont="1" applyFill="1"/>
    <xf numFmtId="0" fontId="5" fillId="0" borderId="0" xfId="0" applyFont="1" applyFill="1"/>
    <xf numFmtId="0" fontId="8" fillId="0" borderId="0" xfId="0" applyFont="1" applyFill="1"/>
    <xf numFmtId="164" fontId="7" fillId="0" borderId="0" xfId="4" applyNumberFormat="1" applyFont="1" applyFill="1" applyBorder="1"/>
    <xf numFmtId="164" fontId="7" fillId="0" borderId="3" xfId="4" applyNumberFormat="1" applyFont="1" applyFill="1" applyBorder="1"/>
  </cellXfs>
  <cellStyles count="7">
    <cellStyle name="Comma" xfId="5" builtinId="3"/>
    <cellStyle name="Currency" xfId="6" builtinId="4"/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6"/>
  <sheetViews>
    <sheetView showGridLines="0" zoomScale="118" zoomScaleNormal="90" workbookViewId="0">
      <selection activeCell="H31" sqref="H31"/>
    </sheetView>
  </sheetViews>
  <sheetFormatPr baseColWidth="10" defaultColWidth="9" defaultRowHeight="16" x14ac:dyDescent="0.2"/>
  <cols>
    <col min="1" max="2" width="3.19921875" style="1" customWidth="1"/>
    <col min="3" max="3" width="26.796875" style="1" customWidth="1"/>
    <col min="4" max="13" width="15.19921875" style="1" customWidth="1"/>
    <col min="14" max="16384" width="9" style="1"/>
  </cols>
  <sheetData>
    <row r="1" spans="1:14" ht="23" x14ac:dyDescent="0.25">
      <c r="A1" s="66" t="s">
        <v>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4" x14ac:dyDescent="0.2">
      <c r="A2" s="62"/>
      <c r="B2" s="62"/>
      <c r="C2" s="62"/>
      <c r="D2" s="62"/>
      <c r="E2" s="62"/>
      <c r="F2" s="62"/>
      <c r="G2" s="62"/>
      <c r="H2" s="62"/>
    </row>
    <row r="3" spans="1:14" ht="18" x14ac:dyDescent="0.2">
      <c r="A3" s="11" t="s">
        <v>14</v>
      </c>
      <c r="B3" s="11"/>
      <c r="C3" s="11"/>
    </row>
    <row r="4" spans="1:14" x14ac:dyDescent="0.2">
      <c r="A4" s="12" t="s">
        <v>6</v>
      </c>
      <c r="B4" s="12"/>
      <c r="C4" s="12"/>
    </row>
    <row r="5" spans="1:14" ht="17" thickBot="1" x14ac:dyDescent="0.25">
      <c r="D5" s="63" t="s">
        <v>20</v>
      </c>
      <c r="E5" s="63"/>
      <c r="F5" s="63"/>
      <c r="G5" s="63"/>
      <c r="H5" s="64"/>
      <c r="I5" s="65" t="s">
        <v>5</v>
      </c>
      <c r="J5" s="63"/>
      <c r="K5" s="63"/>
      <c r="L5" s="63"/>
      <c r="M5" s="63"/>
    </row>
    <row r="6" spans="1:14" ht="17" thickTop="1" x14ac:dyDescent="0.2">
      <c r="D6" s="19" t="s">
        <v>21</v>
      </c>
      <c r="E6" s="19" t="s">
        <v>21</v>
      </c>
      <c r="F6" s="19" t="s">
        <v>21</v>
      </c>
      <c r="G6" s="19" t="s">
        <v>21</v>
      </c>
      <c r="H6" s="13" t="s">
        <v>22</v>
      </c>
    </row>
    <row r="7" spans="1:14" x14ac:dyDescent="0.2">
      <c r="D7" s="3">
        <v>2003</v>
      </c>
      <c r="E7" s="3">
        <v>2004</v>
      </c>
      <c r="F7" s="3">
        <v>2005</v>
      </c>
      <c r="G7" s="3">
        <v>2006</v>
      </c>
      <c r="H7" s="7">
        <v>2007</v>
      </c>
      <c r="I7" s="3">
        <v>2008</v>
      </c>
      <c r="J7" s="3">
        <v>2009</v>
      </c>
      <c r="K7" s="3">
        <v>2010</v>
      </c>
      <c r="L7" s="3">
        <v>2011</v>
      </c>
      <c r="M7" s="3">
        <v>2012</v>
      </c>
    </row>
    <row r="8" spans="1:14" x14ac:dyDescent="0.2">
      <c r="A8" s="2" t="s">
        <v>0</v>
      </c>
      <c r="E8" s="5"/>
      <c r="F8" s="5"/>
      <c r="G8" s="5"/>
      <c r="H8" s="8"/>
    </row>
    <row r="9" spans="1:14" x14ac:dyDescent="0.2">
      <c r="B9" s="6" t="s">
        <v>25</v>
      </c>
      <c r="D9" s="20">
        <v>280050.53999999998</v>
      </c>
      <c r="E9" s="20">
        <v>368937.03</v>
      </c>
      <c r="F9" s="20">
        <v>493011.75</v>
      </c>
      <c r="G9" s="20">
        <v>638307.67000000004</v>
      </c>
      <c r="H9" s="25">
        <v>808500</v>
      </c>
      <c r="I9" s="20">
        <f>H9*(1+'Ratio &amp; Assumptions'!I9)</f>
        <v>768075</v>
      </c>
      <c r="J9" s="20">
        <f>I9*(1+'Ratio &amp; Assumptions'!J9)</f>
        <v>860244.00000000012</v>
      </c>
      <c r="K9" s="20">
        <f>J9*(1+'Ratio &amp; Assumptions'!K9)</f>
        <v>989280.60000000009</v>
      </c>
      <c r="L9" s="20">
        <f>K9*(1+'Ratio &amp; Assumptions'!L9)</f>
        <v>1162404.7050000001</v>
      </c>
      <c r="M9" s="20">
        <f>L9*(1+'Ratio &amp; Assumptions'!M9)</f>
        <v>1423945.7636250001</v>
      </c>
    </row>
    <row r="10" spans="1:14" x14ac:dyDescent="0.2">
      <c r="B10" s="6" t="s">
        <v>26</v>
      </c>
      <c r="D10" s="21">
        <v>36370.200000000004</v>
      </c>
      <c r="E10" s="21">
        <v>47913.9</v>
      </c>
      <c r="F10" s="21">
        <v>64027.5</v>
      </c>
      <c r="G10" s="21">
        <v>82897.100000000006</v>
      </c>
      <c r="H10" s="26">
        <v>105000</v>
      </c>
      <c r="I10" s="21">
        <f>H10*(1+'Ratio &amp; Assumptions'!I10)</f>
        <v>99750</v>
      </c>
      <c r="J10" s="21">
        <f>I10*(1+'Ratio &amp; Assumptions'!J10)</f>
        <v>111720.00000000001</v>
      </c>
      <c r="K10" s="21">
        <f>J10*(1+'Ratio &amp; Assumptions'!K10)</f>
        <v>128478</v>
      </c>
      <c r="L10" s="21">
        <f>K10*(1+'Ratio &amp; Assumptions'!L10)</f>
        <v>150961.65</v>
      </c>
      <c r="M10" s="21">
        <f>L10*(1+'Ratio &amp; Assumptions'!M10)</f>
        <v>184928.02125000002</v>
      </c>
    </row>
    <row r="11" spans="1:14" ht="19" x14ac:dyDescent="0.35">
      <c r="B11" s="6" t="s">
        <v>27</v>
      </c>
      <c r="D11" s="22">
        <v>47281.260000000017</v>
      </c>
      <c r="E11" s="22">
        <v>62288.069999999971</v>
      </c>
      <c r="F11" s="22">
        <v>83235.75</v>
      </c>
      <c r="G11" s="22">
        <v>107766.22999999995</v>
      </c>
      <c r="H11" s="27">
        <v>136500</v>
      </c>
      <c r="I11" s="22">
        <f>H11*(1+'Ratio &amp; Assumptions'!I11)</f>
        <v>129675</v>
      </c>
      <c r="J11" s="22">
        <f>I11*(1+'Ratio &amp; Assumptions'!J11)</f>
        <v>145236</v>
      </c>
      <c r="K11" s="22">
        <f>J11*(1+'Ratio &amp; Assumptions'!K11)</f>
        <v>167021.4</v>
      </c>
      <c r="L11" s="22">
        <f>K11*(1+'Ratio &amp; Assumptions'!L11)</f>
        <v>196250.14499999999</v>
      </c>
      <c r="M11" s="22">
        <f>L11*(1+'Ratio &amp; Assumptions'!M11)</f>
        <v>240406.42762500001</v>
      </c>
    </row>
    <row r="12" spans="1:14" x14ac:dyDescent="0.2">
      <c r="D12" s="23">
        <v>363702</v>
      </c>
      <c r="E12" s="23">
        <v>479139</v>
      </c>
      <c r="F12" s="23">
        <v>640275</v>
      </c>
      <c r="G12" s="23">
        <v>828971</v>
      </c>
      <c r="H12" s="28">
        <v>1050000</v>
      </c>
      <c r="I12" s="23">
        <f>SUM(I9:I11)</f>
        <v>997500</v>
      </c>
      <c r="J12" s="23">
        <f>SUM(J9:J11)</f>
        <v>1117200</v>
      </c>
      <c r="K12" s="23">
        <f>SUM(K9:K11)</f>
        <v>1284780</v>
      </c>
      <c r="L12" s="23">
        <f>SUM(L9:L11)</f>
        <v>1509616.5</v>
      </c>
      <c r="M12" s="23">
        <f>SUM(M9:M11)</f>
        <v>1849280.2125000001</v>
      </c>
    </row>
    <row r="13" spans="1:14" s="12" customFormat="1" ht="12" x14ac:dyDescent="0.15">
      <c r="A13" s="12" t="s">
        <v>39</v>
      </c>
      <c r="D13" s="24">
        <v>0.30944871684092279</v>
      </c>
      <c r="E13" s="24">
        <v>0.31739446029991591</v>
      </c>
      <c r="F13" s="24">
        <v>0.33630324394382427</v>
      </c>
      <c r="G13" s="24">
        <v>0.29471086642458322</v>
      </c>
      <c r="H13" s="29">
        <v>0.26663055764315047</v>
      </c>
      <c r="I13" s="24">
        <f>(I12-H12)/H12</f>
        <v>-0.05</v>
      </c>
      <c r="J13" s="24">
        <f>(J12-I12)/I12</f>
        <v>0.12</v>
      </c>
      <c r="K13" s="24">
        <f>(K12-J12)/J12</f>
        <v>0.15</v>
      </c>
      <c r="L13" s="24">
        <f>(L12-K12)/K12</f>
        <v>0.17499999999999999</v>
      </c>
      <c r="M13" s="24">
        <f>(M12-L12)/L12</f>
        <v>0.22500000000000009</v>
      </c>
    </row>
    <row r="14" spans="1:14" x14ac:dyDescent="0.2">
      <c r="A14" s="2" t="s">
        <v>28</v>
      </c>
      <c r="B14" s="6"/>
      <c r="C14" s="6"/>
      <c r="D14" s="14"/>
      <c r="E14" s="14"/>
      <c r="F14" s="14"/>
      <c r="G14" s="55"/>
      <c r="H14" s="57"/>
      <c r="I14"/>
      <c r="K14"/>
      <c r="L14"/>
      <c r="M14"/>
    </row>
    <row r="15" spans="1:14" x14ac:dyDescent="0.2">
      <c r="B15" s="1" t="s">
        <v>29</v>
      </c>
      <c r="D15" s="14">
        <v>81214.656599999988</v>
      </c>
      <c r="E15" s="14">
        <v>108836.42385000001</v>
      </c>
      <c r="F15" s="14">
        <v>147903.52499999999</v>
      </c>
      <c r="G15" s="14">
        <v>194683.83934999999</v>
      </c>
      <c r="H15" s="9">
        <v>250635</v>
      </c>
      <c r="I15" s="14">
        <f>I9*'Ratio &amp; Assumptions'!I16</f>
        <v>234262.875</v>
      </c>
      <c r="J15" s="14">
        <f>J9*'Ratio &amp; Assumptions'!J16</f>
        <v>266675.64</v>
      </c>
      <c r="K15" s="14">
        <f>K9*'Ratio &amp; Assumptions'!K16</f>
        <v>301730.58300000004</v>
      </c>
      <c r="L15" s="14">
        <f>L9*'Ratio &amp; Assumptions'!L16</f>
        <v>360345.45855000004</v>
      </c>
      <c r="M15" s="14">
        <f>M9*'Ratio &amp; Assumptions'!M16</f>
        <v>434303.45790562505</v>
      </c>
      <c r="N15" s="14"/>
    </row>
    <row r="16" spans="1:14" x14ac:dyDescent="0.2">
      <c r="B16" s="1" t="s">
        <v>30</v>
      </c>
      <c r="D16" s="14">
        <v>86815.667399999991</v>
      </c>
      <c r="E16" s="14">
        <v>118059.84960000002</v>
      </c>
      <c r="F16" s="14">
        <v>157763.76</v>
      </c>
      <c r="G16" s="14">
        <v>210641.53110000002</v>
      </c>
      <c r="H16" s="9">
        <v>266805</v>
      </c>
      <c r="I16" s="14">
        <f>I9*'Ratio &amp; Assumptions'!I17</f>
        <v>230422.5</v>
      </c>
      <c r="J16" s="14">
        <f>J9*'Ratio &amp; Assumptions'!J17</f>
        <v>258073.2</v>
      </c>
      <c r="K16" s="14">
        <f>K9*'Ratio &amp; Assumptions'!K17</f>
        <v>306676.98600000003</v>
      </c>
      <c r="L16" s="14">
        <f>L9*'Ratio &amp; Assumptions'!L17</f>
        <v>371969.50560000003</v>
      </c>
      <c r="M16" s="14">
        <f>M9*'Ratio &amp; Assumptions'!M17</f>
        <v>469902.10199625004</v>
      </c>
    </row>
    <row r="17" spans="1:13" x14ac:dyDescent="0.2">
      <c r="B17" s="1" t="s">
        <v>31</v>
      </c>
      <c r="D17" s="14">
        <v>25000</v>
      </c>
      <c r="E17" s="14">
        <v>38000</v>
      </c>
      <c r="F17" s="14">
        <v>57000</v>
      </c>
      <c r="G17" s="14">
        <v>80000</v>
      </c>
      <c r="H17" s="9">
        <v>140000</v>
      </c>
      <c r="I17" s="14">
        <f>I9*'Ratio &amp; Assumptions'!I18</f>
        <v>115211.25</v>
      </c>
      <c r="J17" s="14">
        <f>J9*'Ratio &amp; Assumptions'!J18</f>
        <v>129036.6</v>
      </c>
      <c r="K17" s="14">
        <f>K9*'Ratio &amp; Assumptions'!K18</f>
        <v>148392.09</v>
      </c>
      <c r="L17" s="14">
        <f>L9*'Ratio &amp; Assumptions'!L18</f>
        <v>174360.70574999999</v>
      </c>
      <c r="M17" s="14">
        <f>M9*'Ratio &amp; Assumptions'!M18</f>
        <v>213591.86454375001</v>
      </c>
    </row>
    <row r="18" spans="1:13" x14ac:dyDescent="0.2">
      <c r="B18" s="1" t="s">
        <v>32</v>
      </c>
      <c r="D18" s="17">
        <v>17791.676000000021</v>
      </c>
      <c r="E18" s="17">
        <v>23809.726549999978</v>
      </c>
      <c r="F18" s="17">
        <v>37092.714999999997</v>
      </c>
      <c r="G18" s="17">
        <v>57590.629549999983</v>
      </c>
      <c r="H18" s="30">
        <v>80560</v>
      </c>
      <c r="I18" s="17">
        <f>I9*'Ratio &amp; Assumptions'!I19</f>
        <v>76807.5</v>
      </c>
      <c r="J18" s="17">
        <f>J9*'Ratio &amp; Assumptions'!J19</f>
        <v>86024.400000000023</v>
      </c>
      <c r="K18" s="17">
        <f>J18*(1+'Ratio &amp; Assumptions'!K19)</f>
        <v>94626.84000000004</v>
      </c>
      <c r="L18" s="17">
        <f>K18*(1+'Ratio &amp; Assumptions'!L19)</f>
        <v>104089.52400000005</v>
      </c>
      <c r="M18" s="17">
        <f>L18*(1+'Ratio &amp; Assumptions'!M19)</f>
        <v>114498.47640000006</v>
      </c>
    </row>
    <row r="19" spans="1:13" x14ac:dyDescent="0.2">
      <c r="A19" s="1" t="s">
        <v>23</v>
      </c>
      <c r="D19" s="17">
        <v>210822</v>
      </c>
      <c r="E19" s="17">
        <v>288706</v>
      </c>
      <c r="F19" s="17">
        <v>399760</v>
      </c>
      <c r="G19" s="17">
        <v>542916</v>
      </c>
      <c r="H19" s="30">
        <v>738000</v>
      </c>
      <c r="I19" s="17">
        <f>SUM(I15:I18)</f>
        <v>656704.125</v>
      </c>
      <c r="J19" s="17">
        <f>SUM(J15:J18)</f>
        <v>739809.84000000008</v>
      </c>
      <c r="K19" s="17">
        <f>SUM(K15:K18)</f>
        <v>851426.49900000019</v>
      </c>
      <c r="L19" s="17">
        <f>SUM(L15:L18)</f>
        <v>1010765.1939000002</v>
      </c>
      <c r="M19" s="17">
        <f>SUM(M15:M18)</f>
        <v>1232295.9008456252</v>
      </c>
    </row>
    <row r="20" spans="1:13" x14ac:dyDescent="0.2">
      <c r="B20" s="1" t="s">
        <v>35</v>
      </c>
      <c r="D20" s="17">
        <v>69228.539999999979</v>
      </c>
      <c r="E20" s="17">
        <v>80231.030000000028</v>
      </c>
      <c r="F20" s="17">
        <v>93251.75</v>
      </c>
      <c r="G20" s="17">
        <v>95391.670000000042</v>
      </c>
      <c r="H20" s="30">
        <v>70500</v>
      </c>
      <c r="I20" s="17">
        <f>I9-I19</f>
        <v>111370.875</v>
      </c>
      <c r="J20" s="17">
        <f>J9-J19</f>
        <v>120434.16000000003</v>
      </c>
      <c r="K20" s="17">
        <f>K9-K19</f>
        <v>137854.10099999991</v>
      </c>
      <c r="L20" s="17">
        <f>L9-L19</f>
        <v>151639.51109999989</v>
      </c>
      <c r="M20" s="17">
        <f>M9-M19</f>
        <v>191649.86277937493</v>
      </c>
    </row>
    <row r="21" spans="1:13" s="12" customFormat="1" ht="12" x14ac:dyDescent="0.15">
      <c r="A21" s="12" t="s">
        <v>33</v>
      </c>
      <c r="D21" s="16">
        <v>0.24720016608430745</v>
      </c>
      <c r="E21" s="16">
        <v>0.21746537613749431</v>
      </c>
      <c r="F21" s="16">
        <v>0.18914711464787604</v>
      </c>
      <c r="G21" s="16">
        <v>0.14944465574101598</v>
      </c>
      <c r="H21" s="31">
        <v>8.7198515769944335E-2</v>
      </c>
      <c r="I21" s="16">
        <f>I20/I9</f>
        <v>0.14499999999999999</v>
      </c>
      <c r="J21" s="16">
        <f>J20/J9</f>
        <v>0.14000000000000001</v>
      </c>
      <c r="K21" s="16">
        <f>K20/K9</f>
        <v>0.13934782608695642</v>
      </c>
      <c r="L21" s="16">
        <f>L20/L9</f>
        <v>0.13045328399629963</v>
      </c>
      <c r="M21" s="16">
        <f>M20/M9</f>
        <v>0.13459070399667725</v>
      </c>
    </row>
    <row r="22" spans="1:13" s="12" customFormat="1" ht="12" x14ac:dyDescent="0.15">
      <c r="D22" s="16"/>
      <c r="E22" s="16"/>
      <c r="F22" s="16"/>
      <c r="G22" s="16"/>
      <c r="H22" s="31"/>
      <c r="I22"/>
      <c r="J22"/>
      <c r="K22"/>
      <c r="L22"/>
      <c r="M22"/>
    </row>
    <row r="23" spans="1:13" x14ac:dyDescent="0.2">
      <c r="A23" s="2" t="s">
        <v>34</v>
      </c>
      <c r="D23" s="14">
        <v>54967</v>
      </c>
      <c r="E23" s="14">
        <v>65627</v>
      </c>
      <c r="F23" s="14">
        <v>75036</v>
      </c>
      <c r="G23" s="14">
        <v>85618</v>
      </c>
      <c r="H23" s="9">
        <v>86000</v>
      </c>
      <c r="I23" s="14">
        <f>I11*'Ratio &amp; Assumptions'!I21</f>
        <v>77805</v>
      </c>
      <c r="J23" s="14">
        <f>J11*'Ratio &amp; Assumptions'!J21</f>
        <v>84236.87999999999</v>
      </c>
      <c r="K23" s="14">
        <f>K11*'Ratio &amp; Assumptions'!K21</f>
        <v>91861.77</v>
      </c>
      <c r="L23" s="14">
        <f>L11*'Ratio &amp; Assumptions'!L21</f>
        <v>104012.57685</v>
      </c>
      <c r="M23" s="14">
        <f>M11*'Ratio &amp; Assumptions'!M21</f>
        <v>122607.27808875001</v>
      </c>
    </row>
    <row r="24" spans="1:13" x14ac:dyDescent="0.2">
      <c r="B24" s="1" t="s">
        <v>36</v>
      </c>
      <c r="D24" s="17">
        <v>-7685.7399999999834</v>
      </c>
      <c r="E24" s="17">
        <v>-3338.9300000000294</v>
      </c>
      <c r="F24" s="17">
        <v>8199.75</v>
      </c>
      <c r="G24" s="17">
        <v>22148.229999999952</v>
      </c>
      <c r="H24" s="30">
        <v>50500</v>
      </c>
      <c r="I24" s="14">
        <f>I11-I23</f>
        <v>51870</v>
      </c>
      <c r="J24" s="14">
        <f>J11-J23</f>
        <v>60999.12000000001</v>
      </c>
      <c r="K24" s="14">
        <f>K11-K23</f>
        <v>75159.62999999999</v>
      </c>
      <c r="L24" s="14">
        <f>L11-L23</f>
        <v>92237.568149999992</v>
      </c>
      <c r="M24" s="14">
        <f>M11-M23</f>
        <v>117799.14953625</v>
      </c>
    </row>
    <row r="25" spans="1:13" x14ac:dyDescent="0.2">
      <c r="A25" s="12" t="s">
        <v>40</v>
      </c>
      <c r="B25" s="12"/>
      <c r="D25" s="16">
        <v>-0.16255362060994102</v>
      </c>
      <c r="E25" s="16">
        <v>-5.3604646925166102E-2</v>
      </c>
      <c r="F25" s="16">
        <v>9.8512357971184253E-2</v>
      </c>
      <c r="G25" s="16">
        <v>0.20552106165354361</v>
      </c>
      <c r="H25" s="31">
        <v>0.36996336996336998</v>
      </c>
      <c r="I25" s="16">
        <f>I24/I11</f>
        <v>0.4</v>
      </c>
      <c r="J25" s="16">
        <f>J24/J11</f>
        <v>0.4200000000000001</v>
      </c>
      <c r="K25" s="16">
        <f>K24/K11</f>
        <v>0.44999999999999996</v>
      </c>
      <c r="L25" s="16">
        <f>L24/L11</f>
        <v>0.47</v>
      </c>
      <c r="M25" s="16">
        <f>M24/M11</f>
        <v>0.49</v>
      </c>
    </row>
    <row r="26" spans="1:13" x14ac:dyDescent="0.2">
      <c r="A26" s="2"/>
      <c r="D26" s="14"/>
      <c r="E26" s="14"/>
      <c r="F26" s="14"/>
      <c r="G26" s="14"/>
      <c r="H26" s="56"/>
      <c r="I26"/>
      <c r="J26"/>
      <c r="K26"/>
      <c r="L26"/>
      <c r="M26"/>
    </row>
    <row r="27" spans="1:13" x14ac:dyDescent="0.2">
      <c r="A27" s="2" t="s">
        <v>54</v>
      </c>
      <c r="D27" s="14">
        <v>18304</v>
      </c>
      <c r="E27" s="14">
        <v>25298</v>
      </c>
      <c r="F27" s="14">
        <v>33011</v>
      </c>
      <c r="G27" s="14">
        <v>44166</v>
      </c>
      <c r="H27" s="9">
        <v>60000</v>
      </c>
      <c r="I27" s="14">
        <f>'Ratio &amp; Assumptions'!I38+'Ratio &amp; Assumptions'!I40</f>
        <v>69379.333333332092</v>
      </c>
      <c r="J27" s="14">
        <f>'Ratio &amp; Assumptions'!J38+'Ratio &amp; Assumptions'!J40</f>
        <v>77809.444444440305</v>
      </c>
      <c r="K27" s="14">
        <f>'Ratio &amp; Assumptions'!K38+'Ratio &amp; Assumptions'!K40</f>
        <v>86734.370370365679</v>
      </c>
      <c r="L27" s="14">
        <f>'Ratio &amp; Assumptions'!L38+'Ratio &amp; Assumptions'!L40</f>
        <v>95329.419753082097</v>
      </c>
      <c r="M27" s="14">
        <f>'Ratio &amp; Assumptions'!M38+'Ratio &amp; Assumptions'!M40</f>
        <v>104144.38683127239</v>
      </c>
    </row>
    <row r="28" spans="1:13" x14ac:dyDescent="0.2">
      <c r="A28" s="2" t="s">
        <v>38</v>
      </c>
      <c r="D28" s="4">
        <v>31502</v>
      </c>
      <c r="E28" s="4">
        <v>38735</v>
      </c>
      <c r="F28" s="4">
        <v>50240</v>
      </c>
      <c r="G28" s="4">
        <v>63502</v>
      </c>
      <c r="H28" s="10">
        <v>78000</v>
      </c>
      <c r="I28" s="4">
        <f>H28*(1+'Ratio &amp; Assumptions'!I23)</f>
        <v>93600</v>
      </c>
      <c r="J28" s="4">
        <f>I28*(1+'Ratio &amp; Assumptions'!J23)</f>
        <v>114660.00000000001</v>
      </c>
      <c r="K28" s="4">
        <f>J28*(1+'Ratio &amp; Assumptions'!K23)</f>
        <v>143325.00000000003</v>
      </c>
      <c r="L28" s="4">
        <f>K28*(1+'Ratio &amp; Assumptions'!L23)</f>
        <v>182739.37500000003</v>
      </c>
      <c r="M28" s="4">
        <f>L28*(1+'Ratio &amp; Assumptions'!M23)</f>
        <v>237561.18750000006</v>
      </c>
    </row>
    <row r="29" spans="1:13" x14ac:dyDescent="0.2">
      <c r="A29" s="2" t="s">
        <v>24</v>
      </c>
      <c r="D29" s="14">
        <v>48107</v>
      </c>
      <c r="E29" s="14">
        <v>60773</v>
      </c>
      <c r="F29" s="14">
        <v>82228</v>
      </c>
      <c r="G29" s="14">
        <v>92769</v>
      </c>
      <c r="H29" s="9">
        <v>88000</v>
      </c>
      <c r="I29" s="14">
        <f>I12-I19-I23-I27-I28</f>
        <v>100011.54166666791</v>
      </c>
      <c r="J29" s="14">
        <f>J12-J19-J23-J27-J28</f>
        <v>100683.83555555959</v>
      </c>
      <c r="K29" s="14">
        <f>K12-K19-K23-K27-K28</f>
        <v>111432.36062963409</v>
      </c>
      <c r="L29" s="14">
        <f>L12-L19-L23-L27-L28</f>
        <v>116769.93449691767</v>
      </c>
      <c r="M29" s="14">
        <f>M12-M19-M23-M27-M28</f>
        <v>152671.45923435246</v>
      </c>
    </row>
    <row r="30" spans="1:13" x14ac:dyDescent="0.2">
      <c r="A30" s="2" t="s">
        <v>78</v>
      </c>
      <c r="D30" s="14"/>
      <c r="E30" s="14"/>
      <c r="F30" s="14"/>
      <c r="G30" s="14"/>
      <c r="H30" s="9"/>
      <c r="I30" s="49">
        <f>I29+I27</f>
        <v>169390.875</v>
      </c>
      <c r="J30" s="49">
        <f>J29+J27</f>
        <v>178493.27999999991</v>
      </c>
      <c r="K30" s="49">
        <f>K29+K27</f>
        <v>198166.73099999977</v>
      </c>
      <c r="L30" s="49">
        <f>L29+L27</f>
        <v>212099.35424999977</v>
      </c>
      <c r="M30" s="49">
        <f>M29+M27</f>
        <v>256815.84606562485</v>
      </c>
    </row>
    <row r="31" spans="1:13" x14ac:dyDescent="0.2">
      <c r="A31" s="1" t="s">
        <v>8</v>
      </c>
      <c r="D31" s="4">
        <v>48</v>
      </c>
      <c r="E31" s="4">
        <v>18</v>
      </c>
      <c r="F31" s="4">
        <v>50</v>
      </c>
      <c r="G31" s="4">
        <v>92</v>
      </c>
      <c r="H31" s="10">
        <v>150</v>
      </c>
      <c r="I31" s="4">
        <v>0</v>
      </c>
      <c r="J31" s="4">
        <f>I31*$I$36</f>
        <v>0</v>
      </c>
      <c r="K31" s="4">
        <f>J31*$I$36</f>
        <v>0</v>
      </c>
      <c r="L31" s="4">
        <f>K31*$I$36</f>
        <v>0</v>
      </c>
      <c r="M31" s="4">
        <f>L31*$I$36</f>
        <v>0</v>
      </c>
    </row>
    <row r="32" spans="1:13" x14ac:dyDescent="0.2">
      <c r="A32" s="1" t="s">
        <v>9</v>
      </c>
      <c r="D32" s="14">
        <v>48059</v>
      </c>
      <c r="E32" s="14">
        <v>60755</v>
      </c>
      <c r="F32" s="14">
        <v>82178</v>
      </c>
      <c r="G32" s="14">
        <v>92677</v>
      </c>
      <c r="H32" s="9">
        <v>87850</v>
      </c>
      <c r="I32" s="14">
        <f>I29-I31</f>
        <v>100011.54166666791</v>
      </c>
      <c r="J32" s="14">
        <f>J29-J31</f>
        <v>100683.83555555959</v>
      </c>
      <c r="K32" s="14">
        <f>K29-K31</f>
        <v>111432.36062963409</v>
      </c>
      <c r="L32" s="14">
        <f>L29-L31</f>
        <v>116769.93449691767</v>
      </c>
      <c r="M32" s="14">
        <f>M29-M31</f>
        <v>152671.45923435246</v>
      </c>
    </row>
    <row r="33" spans="1:13" x14ac:dyDescent="0.2">
      <c r="A33" s="1" t="s">
        <v>1</v>
      </c>
      <c r="D33" s="14">
        <v>17629</v>
      </c>
      <c r="E33" s="14">
        <v>22175</v>
      </c>
      <c r="F33" s="14">
        <v>29995</v>
      </c>
      <c r="G33" s="14">
        <v>33827</v>
      </c>
      <c r="H33" s="9">
        <v>31500</v>
      </c>
      <c r="I33" s="14">
        <f>I32*'Ratio &amp; Assumptions'!I25</f>
        <v>37004.270416667125</v>
      </c>
      <c r="J33" s="14">
        <f>J32*'Ratio &amp; Assumptions'!J25</f>
        <v>37253.019155557049</v>
      </c>
      <c r="K33" s="14">
        <f>K32*'Ratio &amp; Assumptions'!K25</f>
        <v>41229.973432964609</v>
      </c>
      <c r="L33" s="14">
        <f>L32*'Ratio &amp; Assumptions'!L25</f>
        <v>43204.875763859542</v>
      </c>
      <c r="M33" s="14">
        <f>M32*'Ratio &amp; Assumptions'!M25</f>
        <v>56488.439916710406</v>
      </c>
    </row>
    <row r="34" spans="1:13" ht="17" thickBot="1" x14ac:dyDescent="0.25">
      <c r="A34" s="1" t="s">
        <v>10</v>
      </c>
      <c r="D34" s="18">
        <v>30430</v>
      </c>
      <c r="E34" s="18">
        <v>38580</v>
      </c>
      <c r="F34" s="18">
        <v>52183</v>
      </c>
      <c r="G34" s="18">
        <v>58850</v>
      </c>
      <c r="H34" s="32">
        <v>56350</v>
      </c>
      <c r="I34" s="18">
        <f>I32-I33</f>
        <v>63007.271250000784</v>
      </c>
      <c r="J34" s="18">
        <f>J32-J33</f>
        <v>63430.816400002543</v>
      </c>
      <c r="K34" s="18">
        <f>K32-K33</f>
        <v>70202.387196669471</v>
      </c>
      <c r="L34" s="18">
        <f>L32-L33</f>
        <v>73565.058733058133</v>
      </c>
      <c r="M34" s="18">
        <f>M32-M33</f>
        <v>96183.019317642058</v>
      </c>
    </row>
    <row r="35" spans="1:13" ht="17" thickTop="1" x14ac:dyDescent="0.2">
      <c r="I35"/>
      <c r="J35"/>
      <c r="K35"/>
      <c r="L35"/>
      <c r="M35"/>
    </row>
    <row r="36" spans="1:13" x14ac:dyDescent="0.2">
      <c r="I36" s="60"/>
    </row>
  </sheetData>
  <mergeCells count="4">
    <mergeCell ref="A2:H2"/>
    <mergeCell ref="D5:H5"/>
    <mergeCell ref="I5:M5"/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BF5D-4C03-C64C-95D3-FA4AF5E8803B}">
  <dimension ref="A1:O32"/>
  <sheetViews>
    <sheetView showGridLines="0" zoomScaleNormal="90" workbookViewId="0">
      <selection activeCell="G24" sqref="G24"/>
    </sheetView>
  </sheetViews>
  <sheetFormatPr baseColWidth="10" defaultColWidth="9" defaultRowHeight="16" x14ac:dyDescent="0.2"/>
  <cols>
    <col min="1" max="2" width="3.19921875" style="1" customWidth="1"/>
    <col min="3" max="3" width="35.3984375" style="1" customWidth="1"/>
    <col min="4" max="13" width="15.19921875" style="1" customWidth="1"/>
    <col min="14" max="16384" width="9" style="1"/>
  </cols>
  <sheetData>
    <row r="1" spans="1:15" ht="23" x14ac:dyDescent="0.25">
      <c r="A1" s="66" t="s">
        <v>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5" x14ac:dyDescent="0.2">
      <c r="A2" s="62"/>
      <c r="B2" s="62"/>
      <c r="C2" s="62"/>
      <c r="D2" s="62"/>
      <c r="E2" s="62"/>
      <c r="F2" s="62"/>
      <c r="G2" s="62"/>
      <c r="H2" s="62"/>
    </row>
    <row r="3" spans="1:15" ht="18" x14ac:dyDescent="0.2">
      <c r="A3" s="11" t="s">
        <v>15</v>
      </c>
      <c r="B3" s="11"/>
      <c r="C3" s="11"/>
    </row>
    <row r="4" spans="1:15" x14ac:dyDescent="0.2">
      <c r="A4" s="12" t="s">
        <v>6</v>
      </c>
      <c r="B4" s="12"/>
      <c r="C4" s="12"/>
    </row>
    <row r="5" spans="1:15" ht="17" thickBot="1" x14ac:dyDescent="0.25">
      <c r="D5" s="63" t="s">
        <v>20</v>
      </c>
      <c r="E5" s="63"/>
      <c r="F5" s="63"/>
      <c r="G5" s="63"/>
      <c r="H5" s="64"/>
      <c r="I5" s="63" t="s">
        <v>5</v>
      </c>
      <c r="J5" s="63"/>
      <c r="K5" s="63"/>
      <c r="L5" s="63"/>
      <c r="M5" s="63"/>
    </row>
    <row r="6" spans="1:15" ht="17" thickTop="1" x14ac:dyDescent="0.2">
      <c r="D6" s="19" t="s">
        <v>21</v>
      </c>
      <c r="E6" s="19" t="s">
        <v>21</v>
      </c>
      <c r="F6" s="19" t="s">
        <v>21</v>
      </c>
      <c r="G6" s="19" t="s">
        <v>21</v>
      </c>
      <c r="H6" s="13" t="s">
        <v>22</v>
      </c>
    </row>
    <row r="7" spans="1:15" ht="18" customHeight="1" x14ac:dyDescent="0.2">
      <c r="D7" s="3">
        <v>2003</v>
      </c>
      <c r="E7" s="3">
        <v>2004</v>
      </c>
      <c r="F7" s="3">
        <v>2005</v>
      </c>
      <c r="G7" s="3">
        <v>2006</v>
      </c>
      <c r="H7" s="7">
        <v>2007</v>
      </c>
      <c r="I7" s="3">
        <v>2008</v>
      </c>
      <c r="J7" s="3">
        <v>2009</v>
      </c>
      <c r="K7" s="3">
        <v>2010</v>
      </c>
      <c r="L7" s="3">
        <v>2011</v>
      </c>
      <c r="M7" s="3">
        <v>2012</v>
      </c>
    </row>
    <row r="8" spans="1:15" x14ac:dyDescent="0.2">
      <c r="A8" s="2" t="s">
        <v>16</v>
      </c>
      <c r="H8" s="40"/>
      <c r="I8"/>
      <c r="J8"/>
      <c r="K8"/>
      <c r="L8"/>
      <c r="M8"/>
      <c r="N8"/>
      <c r="O8"/>
    </row>
    <row r="9" spans="1:15" x14ac:dyDescent="0.2">
      <c r="B9" s="1" t="s">
        <v>41</v>
      </c>
      <c r="D9" s="23"/>
      <c r="E9" s="23"/>
      <c r="F9" s="23"/>
      <c r="G9" s="23"/>
      <c r="H9" s="28"/>
      <c r="I9"/>
      <c r="J9"/>
      <c r="K9"/>
      <c r="L9"/>
      <c r="M9"/>
      <c r="N9"/>
      <c r="O9"/>
    </row>
    <row r="10" spans="1:15" x14ac:dyDescent="0.2">
      <c r="C10" s="1" t="s">
        <v>42</v>
      </c>
      <c r="D10" s="23">
        <v>51421</v>
      </c>
      <c r="E10" s="23">
        <v>58054</v>
      </c>
      <c r="F10" s="23">
        <v>60651</v>
      </c>
      <c r="G10" s="23">
        <v>72122</v>
      </c>
      <c r="H10" s="28">
        <v>89316</v>
      </c>
      <c r="I10" s="23">
        <f>H10+'Cash Flow Statement'!E23</f>
        <v>89316</v>
      </c>
      <c r="J10" s="23">
        <f>I10+'Cash Flow Statement'!F23</f>
        <v>89316</v>
      </c>
      <c r="K10" s="23">
        <f>J10+'Cash Flow Statement'!G23</f>
        <v>89316</v>
      </c>
      <c r="L10" s="23">
        <f>K10+'Cash Flow Statement'!H23</f>
        <v>89316</v>
      </c>
      <c r="M10" s="23">
        <f>L10+'Cash Flow Statement'!I23</f>
        <v>152556.48772153378</v>
      </c>
      <c r="N10"/>
      <c r="O10"/>
    </row>
    <row r="11" spans="1:15" x14ac:dyDescent="0.2">
      <c r="C11" s="1" t="s">
        <v>43</v>
      </c>
      <c r="D11" s="14">
        <v>12394</v>
      </c>
      <c r="E11" s="14">
        <v>17256</v>
      </c>
      <c r="F11" s="14">
        <v>25158</v>
      </c>
      <c r="G11" s="14">
        <v>30919</v>
      </c>
      <c r="H11" s="9">
        <v>36792</v>
      </c>
      <c r="I11" s="14">
        <f>(SUM('Income Statement'!I10:I11)/365)*'Ratio &amp; Assumptions'!I30</f>
        <v>37713.698630136991</v>
      </c>
      <c r="J11" s="14">
        <f>(SUM('Income Statement'!J10:J11)/365)*'Ratio &amp; Assumptions'!J30</f>
        <v>42239.342465753427</v>
      </c>
      <c r="K11" s="14">
        <f>(SUM('Income Statement'!K10:K11)/365)*'Ratio &amp; Assumptions'!K30</f>
        <v>48575.243835616442</v>
      </c>
      <c r="L11" s="14">
        <f>(SUM('Income Statement'!L10:L11)/365)*'Ratio &amp; Assumptions'!L30</f>
        <v>57075.911506849312</v>
      </c>
      <c r="M11" s="14">
        <f>(SUM('Income Statement'!M10:M11)/365)*'Ratio &amp; Assumptions'!M30</f>
        <v>69917.991595890417</v>
      </c>
      <c r="N11"/>
      <c r="O11"/>
    </row>
    <row r="12" spans="1:15" x14ac:dyDescent="0.2">
      <c r="C12" s="1" t="s">
        <v>4</v>
      </c>
      <c r="D12" s="14">
        <v>4350</v>
      </c>
      <c r="E12" s="14">
        <v>5398</v>
      </c>
      <c r="F12" s="14">
        <v>7358</v>
      </c>
      <c r="G12" s="14">
        <v>8714</v>
      </c>
      <c r="H12" s="9">
        <v>11394</v>
      </c>
      <c r="I12" s="14">
        <f>(('Income Statement'!H15+'Income Statement'!H23)/365)*'Ratio &amp; Assumptions'!I31</f>
        <v>10145.164383561643</v>
      </c>
      <c r="J12" s="14">
        <f>(('Income Statement'!I15+'Income Statement'!I23)/365)*'Ratio &amp; Assumptions'!J31</f>
        <v>10259.765753424657</v>
      </c>
      <c r="K12" s="14">
        <f>(('Income Statement'!J15+'Income Statement'!J23)/365)*'Ratio &amp; Assumptions'!K31</f>
        <v>10575.445808219178</v>
      </c>
      <c r="L12" s="14">
        <f>(('Income Statement'!K15+'Income Statement'!K23)/365)*'Ratio &amp; Assumptions'!L31</f>
        <v>12940.022564383562</v>
      </c>
      <c r="M12" s="14">
        <f>(('Income Statement'!L15+'Income Statement'!L23)/365)*'Ratio &amp; Assumptions'!M31</f>
        <v>13994.351751780825</v>
      </c>
      <c r="N12"/>
      <c r="O12"/>
    </row>
    <row r="13" spans="1:15" x14ac:dyDescent="0.2">
      <c r="C13" s="1" t="s">
        <v>44</v>
      </c>
      <c r="D13" s="4">
        <v>3887</v>
      </c>
      <c r="E13" s="4">
        <v>3905</v>
      </c>
      <c r="F13" s="4">
        <v>9607</v>
      </c>
      <c r="G13" s="4">
        <v>15863</v>
      </c>
      <c r="H13" s="10">
        <v>12498</v>
      </c>
      <c r="I13" s="4">
        <f>((('Income Statement'!I12-'Income Statement'!I29)+'Income Statement'!I27)/365)*'Ratio &amp; Assumptions'!I32</f>
        <v>13244.76426940636</v>
      </c>
      <c r="J13" s="4">
        <f>((('Income Statement'!J12-'Income Statement'!J29)+'Income Statement'!J27)/365)*'Ratio &amp; Assumptions'!J32</f>
        <v>14990.761765601108</v>
      </c>
      <c r="K13" s="4">
        <f>((('Income Statement'!K12-'Income Statement'!K29)+'Income Statement'!K27)/365)*'Ratio &amp; Assumptions'!K32</f>
        <v>17261.397393708652</v>
      </c>
      <c r="L13" s="4">
        <f>((('Income Statement'!L12-'Income Statement'!L29)+'Income Statement'!L27)/365)*'Ratio &amp; Assumptions'!L32</f>
        <v>20385.972400769373</v>
      </c>
      <c r="M13" s="4">
        <f>((('Income Statement'!M12-'Income Statement'!M29)+'Income Statement'!M27)/365)*'Ratio &amp; Assumptions'!M32</f>
        <v>24667.851234204387</v>
      </c>
      <c r="N13"/>
      <c r="O13"/>
    </row>
    <row r="14" spans="1:15" x14ac:dyDescent="0.2">
      <c r="D14" s="23">
        <v>72052</v>
      </c>
      <c r="E14" s="23">
        <v>84613</v>
      </c>
      <c r="F14" s="23">
        <v>102774</v>
      </c>
      <c r="G14" s="23">
        <v>127618</v>
      </c>
      <c r="H14" s="28">
        <v>150000</v>
      </c>
      <c r="I14" s="23">
        <f>SUM(I10:I13)</f>
        <v>150419.62728310499</v>
      </c>
      <c r="J14" s="23">
        <f>SUM(J10:J13)</f>
        <v>156805.86998477922</v>
      </c>
      <c r="K14" s="23">
        <f>SUM(K10:K13)</f>
        <v>165728.08703754426</v>
      </c>
      <c r="L14" s="23">
        <f>SUM(L10:L13)</f>
        <v>179717.90647200227</v>
      </c>
      <c r="M14" s="23">
        <f>SUM(M10:M13)</f>
        <v>261136.68230340941</v>
      </c>
      <c r="N14"/>
      <c r="O14"/>
    </row>
    <row r="15" spans="1:15" x14ac:dyDescent="0.2">
      <c r="D15" s="14"/>
      <c r="E15" s="14"/>
      <c r="F15" s="14"/>
      <c r="G15" s="14"/>
      <c r="H15" s="9"/>
      <c r="I15" s="14"/>
      <c r="J15"/>
      <c r="K15"/>
      <c r="L15"/>
      <c r="M15"/>
      <c r="N15"/>
      <c r="O15"/>
    </row>
    <row r="16" spans="1:15" x14ac:dyDescent="0.2">
      <c r="A16" s="1" t="s">
        <v>11</v>
      </c>
      <c r="D16" s="21"/>
      <c r="E16" s="21">
        <v>289601</v>
      </c>
      <c r="F16" s="21">
        <v>387104</v>
      </c>
      <c r="G16" s="21">
        <v>504420</v>
      </c>
      <c r="H16" s="26">
        <v>636650</v>
      </c>
      <c r="I16" s="21">
        <f>H16+'Ratio &amp; Assumptions'!I36</f>
        <v>786650</v>
      </c>
      <c r="J16" s="21">
        <f>I16+'Ratio &amp; Assumptions'!J36</f>
        <v>942650</v>
      </c>
      <c r="K16" s="21">
        <f>J16+'Ratio &amp; Assumptions'!K36</f>
        <v>1107650</v>
      </c>
      <c r="L16" s="21">
        <f>K16+'Ratio &amp; Assumptions'!L36</f>
        <v>1284650</v>
      </c>
      <c r="M16" s="21">
        <f>L16+'Ratio &amp; Assumptions'!M36</f>
        <v>1470650</v>
      </c>
      <c r="N16"/>
      <c r="O16"/>
    </row>
    <row r="17" spans="1:15" x14ac:dyDescent="0.2">
      <c r="B17" s="1" t="s">
        <v>50</v>
      </c>
      <c r="D17" s="21"/>
      <c r="E17" s="35">
        <v>-87876</v>
      </c>
      <c r="F17" s="35">
        <v>-118295</v>
      </c>
      <c r="G17" s="35">
        <v>-158443</v>
      </c>
      <c r="H17" s="41">
        <v>-206650</v>
      </c>
      <c r="I17" s="35">
        <f>H17-'Ratio &amp; Assumptions'!I38</f>
        <v>-264029.33333333209</v>
      </c>
      <c r="J17" s="35">
        <f>I17-'Ratio &amp; Assumptions'!J38</f>
        <v>-329838.7777777724</v>
      </c>
      <c r="K17" s="35">
        <f>J17-'Ratio &amp; Assumptions'!K38</f>
        <v>-404573.14814813808</v>
      </c>
      <c r="L17" s="35">
        <f>K17-'Ratio &amp; Assumptions'!L38</f>
        <v>-487902.56790122017</v>
      </c>
      <c r="M17" s="35">
        <f>L17-'Ratio &amp; Assumptions'!M38</f>
        <v>-580046.95473249257</v>
      </c>
      <c r="N17"/>
      <c r="O17"/>
    </row>
    <row r="18" spans="1:15" x14ac:dyDescent="0.2">
      <c r="A18" s="1" t="s">
        <v>51</v>
      </c>
      <c r="D18" s="14">
        <v>146362</v>
      </c>
      <c r="E18" s="14">
        <v>201725</v>
      </c>
      <c r="F18" s="14">
        <v>268809</v>
      </c>
      <c r="G18" s="14">
        <v>345977</v>
      </c>
      <c r="H18" s="9">
        <v>430000</v>
      </c>
      <c r="I18" s="14">
        <f>SUM(I16:I17)</f>
        <v>522620.66666666791</v>
      </c>
      <c r="J18" s="14">
        <f>SUM(J16:J17)</f>
        <v>612811.2222222276</v>
      </c>
      <c r="K18" s="14">
        <f>SUM(K16:K17)</f>
        <v>703076.85185186192</v>
      </c>
      <c r="L18" s="14">
        <f>SUM(L16:L17)</f>
        <v>796747.43209877983</v>
      </c>
      <c r="M18" s="14">
        <f>SUM(M16:M17)</f>
        <v>890603.04526750743</v>
      </c>
      <c r="N18"/>
      <c r="O18"/>
    </row>
    <row r="19" spans="1:15" x14ac:dyDescent="0.2">
      <c r="D19" s="14"/>
      <c r="E19" s="14"/>
      <c r="F19" s="14"/>
      <c r="G19" s="14"/>
      <c r="H19" s="9"/>
      <c r="I19"/>
      <c r="J19"/>
      <c r="K19"/>
      <c r="L19"/>
      <c r="M19"/>
      <c r="N19"/>
      <c r="O19"/>
    </row>
    <row r="20" spans="1:15" x14ac:dyDescent="0.2">
      <c r="A20" s="1" t="s">
        <v>17</v>
      </c>
      <c r="D20" s="14">
        <v>38421</v>
      </c>
      <c r="E20" s="14">
        <v>38334</v>
      </c>
      <c r="F20" s="14">
        <v>66084</v>
      </c>
      <c r="G20" s="14">
        <v>69014</v>
      </c>
      <c r="H20" s="9">
        <v>110000</v>
      </c>
      <c r="I20" s="14">
        <f>H20-'Ratio &amp; Assumptions'!I40</f>
        <v>98000</v>
      </c>
      <c r="J20" s="14">
        <f>I20-'Ratio &amp; Assumptions'!J40</f>
        <v>86000</v>
      </c>
      <c r="K20" s="14">
        <f>J20-'Ratio &amp; Assumptions'!K40</f>
        <v>74000</v>
      </c>
      <c r="L20" s="14">
        <f>K20-'Ratio &amp; Assumptions'!L40</f>
        <v>62000</v>
      </c>
      <c r="M20" s="14">
        <f>L20-'Ratio &amp; Assumptions'!M40</f>
        <v>50000</v>
      </c>
      <c r="N20"/>
      <c r="O20"/>
    </row>
    <row r="21" spans="1:15" ht="17" thickBot="1" x14ac:dyDescent="0.25">
      <c r="D21" s="18">
        <v>256835</v>
      </c>
      <c r="E21" s="18">
        <v>324672</v>
      </c>
      <c r="F21" s="18">
        <v>437667</v>
      </c>
      <c r="G21" s="18">
        <v>542609</v>
      </c>
      <c r="H21" s="32">
        <v>690000</v>
      </c>
      <c r="I21" s="18">
        <f>SUM(I20+I18+I14)</f>
        <v>771040.29394977284</v>
      </c>
      <c r="J21" s="18">
        <f>SUM(J20+J18+J14)</f>
        <v>855617.09220700688</v>
      </c>
      <c r="K21" s="18">
        <f>SUM(K20+K18+K14)</f>
        <v>942804.93888940616</v>
      </c>
      <c r="L21" s="18">
        <f>SUM(L20+L18+L14)</f>
        <v>1038465.3385707821</v>
      </c>
      <c r="M21" s="18">
        <f>SUM(M20+M18+M14)</f>
        <v>1201739.7275709168</v>
      </c>
      <c r="N21"/>
      <c r="O21"/>
    </row>
    <row r="22" spans="1:15" ht="17" thickTop="1" x14ac:dyDescent="0.2">
      <c r="D22" s="14"/>
      <c r="E22" s="14"/>
      <c r="F22" s="14"/>
      <c r="G22" s="14"/>
      <c r="H22" s="9"/>
      <c r="I22" s="14"/>
      <c r="J22"/>
      <c r="K22"/>
      <c r="L22"/>
      <c r="M22"/>
      <c r="N22"/>
      <c r="O22"/>
    </row>
    <row r="23" spans="1:15" x14ac:dyDescent="0.2">
      <c r="A23" s="1" t="s">
        <v>18</v>
      </c>
      <c r="D23" s="14"/>
      <c r="E23" s="14"/>
      <c r="F23" s="14"/>
      <c r="G23" s="14"/>
      <c r="H23" s="9"/>
      <c r="I23" s="14"/>
      <c r="J23"/>
      <c r="K23"/>
      <c r="L23"/>
      <c r="M23"/>
      <c r="N23"/>
      <c r="O23"/>
    </row>
    <row r="24" spans="1:15" x14ac:dyDescent="0.2">
      <c r="A24" s="1" t="s">
        <v>12</v>
      </c>
      <c r="D24" s="23">
        <v>45643</v>
      </c>
      <c r="E24" s="23">
        <v>55705</v>
      </c>
      <c r="F24" s="23">
        <v>86865</v>
      </c>
      <c r="G24" s="23">
        <v>109610</v>
      </c>
      <c r="H24" s="28">
        <v>130000</v>
      </c>
      <c r="I24" s="23">
        <f>(('Income Statement'!I12-'Income Statement'!I29+'Income Statement'!I27)/365)*'Ratio &amp; Assumptions'!I33</f>
        <v>132447.6426940636</v>
      </c>
      <c r="J24" s="23">
        <f>(('Income Statement'!J12-'Income Statement'!J29+'Income Statement'!J27)/365)*'Ratio &amp; Assumptions'!J33</f>
        <v>149907.61765601108</v>
      </c>
      <c r="K24" s="23">
        <f>(('Income Statement'!K12-'Income Statement'!K29+'Income Statement'!K27)/365)*'Ratio &amp; Assumptions'!K33</f>
        <v>172613.97393708653</v>
      </c>
      <c r="L24" s="23">
        <f>(('Income Statement'!L12-'Income Statement'!L29+'Income Statement'!L27)/365)*'Ratio &amp; Assumptions'!L33</f>
        <v>203859.72400769373</v>
      </c>
      <c r="M24" s="23">
        <f>(('Income Statement'!M12-'Income Statement'!M29+'Income Statement'!M27)/365)*'Ratio &amp; Assumptions'!M33</f>
        <v>246678.51234204386</v>
      </c>
      <c r="N24"/>
      <c r="O24"/>
    </row>
    <row r="25" spans="1:15" x14ac:dyDescent="0.2">
      <c r="A25" s="1" t="s">
        <v>19</v>
      </c>
      <c r="D25" s="4">
        <v>13616</v>
      </c>
      <c r="E25" s="4">
        <v>27604</v>
      </c>
      <c r="F25" s="4">
        <v>33824</v>
      </c>
      <c r="G25" s="4">
        <v>35333</v>
      </c>
      <c r="H25" s="10">
        <v>45000</v>
      </c>
      <c r="I25" s="4">
        <f>H25*(1+'Ratio &amp; Assumptions'!I35)</f>
        <v>57150</v>
      </c>
      <c r="J25" s="4">
        <f>I25*(1+'Ratio &amp; Assumptions'!J35)</f>
        <v>72580.5</v>
      </c>
      <c r="K25" s="4">
        <f>J25*(1+'Ratio &amp; Assumptions'!K35)</f>
        <v>92177.235000000001</v>
      </c>
      <c r="L25" s="4">
        <f>K25*(1+'Ratio &amp; Assumptions'!L35)</f>
        <v>117065.08845</v>
      </c>
      <c r="M25" s="4">
        <f>L25*(1+'Ratio &amp; Assumptions'!M35)</f>
        <v>148672.6623315</v>
      </c>
      <c r="N25"/>
      <c r="O25"/>
    </row>
    <row r="26" spans="1:15" x14ac:dyDescent="0.2">
      <c r="D26" s="14">
        <v>59259</v>
      </c>
      <c r="E26" s="14">
        <v>83309</v>
      </c>
      <c r="F26" s="14">
        <v>120689</v>
      </c>
      <c r="G26" s="14">
        <v>144943</v>
      </c>
      <c r="H26" s="9">
        <v>175000</v>
      </c>
      <c r="I26" s="14">
        <f>SUM(I24:I25)</f>
        <v>189597.6426940636</v>
      </c>
      <c r="J26" s="14">
        <f>SUM(J24:J25)</f>
        <v>222488.11765601108</v>
      </c>
      <c r="K26" s="14">
        <f>SUM(K24:K25)</f>
        <v>264791.20893708651</v>
      </c>
      <c r="L26" s="14">
        <f>SUM(L24:L25)</f>
        <v>320924.81245769374</v>
      </c>
      <c r="M26" s="14">
        <f>SUM(M24:M25)</f>
        <v>395351.17467354389</v>
      </c>
      <c r="N26"/>
      <c r="O26"/>
    </row>
    <row r="27" spans="1:15" x14ac:dyDescent="0.2">
      <c r="D27" s="14"/>
      <c r="E27" s="14"/>
      <c r="F27" s="14"/>
      <c r="G27" s="14"/>
      <c r="H27" s="9"/>
      <c r="I27"/>
      <c r="J27"/>
      <c r="K27"/>
      <c r="L27"/>
      <c r="M27"/>
      <c r="N27"/>
      <c r="O27"/>
    </row>
    <row r="28" spans="1:15" x14ac:dyDescent="0.2">
      <c r="A28" s="1" t="s">
        <v>3</v>
      </c>
      <c r="D28" s="14">
        <v>0</v>
      </c>
      <c r="E28" s="14">
        <v>0</v>
      </c>
      <c r="F28" s="14">
        <v>0</v>
      </c>
      <c r="G28" s="14">
        <v>0</v>
      </c>
      <c r="H28" s="9">
        <v>75000</v>
      </c>
      <c r="I28" s="14">
        <f>H28+SUM('Cash Flow Statement'!E21:E22)</f>
        <v>78435.380005708517</v>
      </c>
      <c r="J28" s="14">
        <f>I28+SUM('Cash Flow Statement'!F21:F22)</f>
        <v>66690.886900992424</v>
      </c>
      <c r="K28" s="14">
        <f>J28+SUM('Cash Flow Statement'!G21:G22)</f>
        <v>41373.255105646909</v>
      </c>
      <c r="L28" s="14">
        <f>K28+SUM('Cash Flow Statement'!H21:H22)</f>
        <v>7334.9925333574356</v>
      </c>
      <c r="M28" s="14">
        <f>L28+SUM('Cash Flow Statement'!I21:I22)</f>
        <v>0</v>
      </c>
      <c r="N28"/>
      <c r="O28"/>
    </row>
    <row r="29" spans="1:15" x14ac:dyDescent="0.2">
      <c r="A29" s="1" t="s">
        <v>2</v>
      </c>
      <c r="D29" s="14">
        <v>197576</v>
      </c>
      <c r="E29" s="14">
        <v>241363</v>
      </c>
      <c r="F29" s="14">
        <v>316978</v>
      </c>
      <c r="G29" s="14">
        <v>397666</v>
      </c>
      <c r="H29" s="9">
        <v>440000</v>
      </c>
      <c r="I29" s="14">
        <f>H29+'Income Statement'!I34</f>
        <v>503007.27125000081</v>
      </c>
      <c r="J29" s="14">
        <f>I29+'Income Statement'!J34</f>
        <v>566438.08765000338</v>
      </c>
      <c r="K29" s="14">
        <f>J29+'Income Statement'!K34</f>
        <v>636640.47484667285</v>
      </c>
      <c r="L29" s="14">
        <f>K29+'Income Statement'!L34</f>
        <v>710205.53357973101</v>
      </c>
      <c r="M29" s="14">
        <f>L29+'Income Statement'!M34</f>
        <v>806388.5528973731</v>
      </c>
      <c r="N29"/>
      <c r="O29"/>
    </row>
    <row r="30" spans="1:15" ht="17" thickBot="1" x14ac:dyDescent="0.25">
      <c r="A30" s="1" t="s">
        <v>13</v>
      </c>
      <c r="D30" s="18">
        <v>256835</v>
      </c>
      <c r="E30" s="18">
        <v>324672</v>
      </c>
      <c r="F30" s="18">
        <v>437667</v>
      </c>
      <c r="G30" s="18">
        <v>542609</v>
      </c>
      <c r="H30" s="32">
        <f>H26+H28+H29</f>
        <v>690000</v>
      </c>
      <c r="I30" s="18">
        <f>SUM(I26:I29)</f>
        <v>771040.29394977295</v>
      </c>
      <c r="J30" s="18">
        <f>SUM(J26:J29)</f>
        <v>855617.09220700688</v>
      </c>
      <c r="K30" s="18">
        <f>SUM(K26:K29)</f>
        <v>942804.93888940627</v>
      </c>
      <c r="L30" s="18">
        <f>SUM(L26:L29)</f>
        <v>1038465.3385707822</v>
      </c>
      <c r="M30" s="18">
        <f>SUM(M26:M29)</f>
        <v>1201739.727570917</v>
      </c>
      <c r="N30"/>
      <c r="O30"/>
    </row>
    <row r="31" spans="1:15" ht="17" thickTop="1" x14ac:dyDescent="0.2">
      <c r="C31" s="47" t="s">
        <v>61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54">
        <f>I21-I30</f>
        <v>0</v>
      </c>
      <c r="J31" s="54">
        <f>J21-J30</f>
        <v>0</v>
      </c>
      <c r="K31" s="54">
        <f>K21-K30</f>
        <v>0</v>
      </c>
      <c r="L31" s="54">
        <f>L21-L30</f>
        <v>0</v>
      </c>
      <c r="M31" s="54">
        <f>M21-M30</f>
        <v>0</v>
      </c>
      <c r="N31"/>
      <c r="O31"/>
    </row>
    <row r="32" spans="1:15" x14ac:dyDescent="0.2">
      <c r="I32"/>
      <c r="J32"/>
      <c r="K32"/>
      <c r="L32"/>
      <c r="M32"/>
      <c r="N32"/>
      <c r="O32"/>
    </row>
  </sheetData>
  <mergeCells count="4">
    <mergeCell ref="A1:M1"/>
    <mergeCell ref="A2:H2"/>
    <mergeCell ref="D5:H5"/>
    <mergeCell ref="I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28BB-E1FA-9F4C-AAD0-27657EE6E737}">
  <dimension ref="C3:I27"/>
  <sheetViews>
    <sheetView showGridLines="0" zoomScaleNormal="100" workbookViewId="0">
      <selection activeCell="C3" sqref="C3"/>
    </sheetView>
  </sheetViews>
  <sheetFormatPr baseColWidth="10" defaultRowHeight="12" x14ac:dyDescent="0.15"/>
  <cols>
    <col min="3" max="3" width="36" bestFit="1" customWidth="1"/>
    <col min="5" max="9" width="15.19921875" bestFit="1" customWidth="1"/>
  </cols>
  <sheetData>
    <row r="3" spans="3:9" ht="16" x14ac:dyDescent="0.2">
      <c r="E3" s="3">
        <v>2008</v>
      </c>
      <c r="F3" s="3">
        <f>E3+1</f>
        <v>2009</v>
      </c>
      <c r="G3" s="3">
        <f>F3+1</f>
        <v>2010</v>
      </c>
      <c r="H3" s="3">
        <f>G3+1</f>
        <v>2011</v>
      </c>
      <c r="I3" s="3">
        <f>H3+1</f>
        <v>2012</v>
      </c>
    </row>
    <row r="4" spans="3:9" ht="15" x14ac:dyDescent="0.2">
      <c r="E4" s="67"/>
      <c r="F4" s="67"/>
      <c r="G4" s="67"/>
      <c r="H4" s="67"/>
      <c r="I4" s="67"/>
    </row>
    <row r="5" spans="3:9" ht="15" x14ac:dyDescent="0.2">
      <c r="C5" s="61" t="s">
        <v>64</v>
      </c>
      <c r="E5" s="67">
        <f>'Income Statement'!I34</f>
        <v>63007.271250000784</v>
      </c>
      <c r="F5" s="67">
        <f>'Income Statement'!J34</f>
        <v>63430.816400002543</v>
      </c>
      <c r="G5" s="67">
        <f>'Income Statement'!K34</f>
        <v>70202.387196669471</v>
      </c>
      <c r="H5" s="67">
        <f>'Income Statement'!L34</f>
        <v>73565.058733058133</v>
      </c>
      <c r="I5" s="67">
        <f>'Income Statement'!M34</f>
        <v>96183.019317642058</v>
      </c>
    </row>
    <row r="6" spans="3:9" ht="15" x14ac:dyDescent="0.2">
      <c r="E6" s="67"/>
      <c r="F6" s="67"/>
      <c r="G6" s="67"/>
      <c r="H6" s="67"/>
      <c r="I6" s="67"/>
    </row>
    <row r="7" spans="3:9" ht="15" x14ac:dyDescent="0.2">
      <c r="C7" s="61" t="s">
        <v>65</v>
      </c>
      <c r="E7" s="67"/>
      <c r="F7" s="67"/>
      <c r="G7" s="67"/>
      <c r="H7" s="67"/>
      <c r="I7" s="67"/>
    </row>
    <row r="8" spans="3:9" ht="15" x14ac:dyDescent="0.2">
      <c r="C8" t="s">
        <v>70</v>
      </c>
      <c r="E8" s="67">
        <f>'Income Statement'!I27</f>
        <v>69379.333333332092</v>
      </c>
      <c r="F8" s="67">
        <f>'Income Statement'!J27</f>
        <v>77809.444444440305</v>
      </c>
      <c r="G8" s="67">
        <f>'Income Statement'!K27</f>
        <v>86734.370370365679</v>
      </c>
      <c r="H8" s="67">
        <f>'Income Statement'!L27</f>
        <v>95329.419753082097</v>
      </c>
      <c r="I8" s="67">
        <f>'Income Statement'!M27</f>
        <v>104144.38683127239</v>
      </c>
    </row>
    <row r="9" spans="3:9" ht="15" x14ac:dyDescent="0.2">
      <c r="C9" t="s">
        <v>71</v>
      </c>
      <c r="E9" s="67"/>
      <c r="F9" s="67"/>
      <c r="G9" s="67"/>
      <c r="H9" s="67"/>
      <c r="I9" s="67"/>
    </row>
    <row r="10" spans="3:9" ht="15" x14ac:dyDescent="0.2">
      <c r="E10" s="67"/>
      <c r="F10" s="67"/>
      <c r="G10" s="67"/>
      <c r="H10" s="67"/>
      <c r="I10" s="67"/>
    </row>
    <row r="11" spans="3:9" ht="15" x14ac:dyDescent="0.2">
      <c r="C11" t="s">
        <v>43</v>
      </c>
      <c r="E11" s="67">
        <f>'Balance Sheet'!H11-'Balance Sheet'!I11</f>
        <v>-921.69863013699069</v>
      </c>
      <c r="F11" s="67">
        <f>'Balance Sheet'!I11-'Balance Sheet'!J11</f>
        <v>-4525.6438356164363</v>
      </c>
      <c r="G11" s="67">
        <f>'Balance Sheet'!J11-'Balance Sheet'!K11</f>
        <v>-6335.9013698630151</v>
      </c>
      <c r="H11" s="67">
        <f>'Balance Sheet'!K11-'Balance Sheet'!L11</f>
        <v>-8500.6676712328699</v>
      </c>
      <c r="I11" s="67">
        <f>'Balance Sheet'!L11-'Balance Sheet'!M11</f>
        <v>-12842.080089041105</v>
      </c>
    </row>
    <row r="12" spans="3:9" ht="15" x14ac:dyDescent="0.2">
      <c r="C12" t="s">
        <v>66</v>
      </c>
      <c r="E12" s="67">
        <f>'Balance Sheet'!H12-'Balance Sheet'!I12</f>
        <v>1248.8356164383567</v>
      </c>
      <c r="F12" s="67">
        <f>'Balance Sheet'!I12-'Balance Sheet'!J12</f>
        <v>-114.60136986301404</v>
      </c>
      <c r="G12" s="67">
        <f>'Balance Sheet'!J12-'Balance Sheet'!K12</f>
        <v>-315.6800547945204</v>
      </c>
      <c r="H12" s="67">
        <f>'Balance Sheet'!K12-'Balance Sheet'!L12</f>
        <v>-2364.5767561643843</v>
      </c>
      <c r="I12" s="67">
        <f>'Balance Sheet'!L12-'Balance Sheet'!M12</f>
        <v>-1054.329187397263</v>
      </c>
    </row>
    <row r="13" spans="3:9" ht="15" x14ac:dyDescent="0.2">
      <c r="C13" t="s">
        <v>72</v>
      </c>
      <c r="E13" s="67">
        <f>'Balance Sheet'!I24-'Balance Sheet'!H24</f>
        <v>2447.6426940636011</v>
      </c>
      <c r="F13" s="67">
        <f>'Balance Sheet'!J24-'Balance Sheet'!I24</f>
        <v>17459.974961947475</v>
      </c>
      <c r="G13" s="67">
        <f>'Balance Sheet'!K24-'Balance Sheet'!J24</f>
        <v>22706.356281075452</v>
      </c>
      <c r="H13" s="67">
        <f>'Balance Sheet'!L24-'Balance Sheet'!K24</f>
        <v>31245.750070607202</v>
      </c>
      <c r="I13" s="67">
        <f>'Balance Sheet'!M24-'Balance Sheet'!L24</f>
        <v>42818.788334350131</v>
      </c>
    </row>
    <row r="14" spans="3:9" ht="15" x14ac:dyDescent="0.2">
      <c r="C14" t="s">
        <v>67</v>
      </c>
      <c r="E14" s="67">
        <f>'Balance Sheet'!H13-'Balance Sheet'!I13</f>
        <v>-746.76426940635974</v>
      </c>
      <c r="F14" s="67">
        <f>'Balance Sheet'!I13-'Balance Sheet'!J13</f>
        <v>-1745.9974961947482</v>
      </c>
      <c r="G14" s="67">
        <f>'Balance Sheet'!J13-'Balance Sheet'!K13</f>
        <v>-2270.6356281075441</v>
      </c>
      <c r="H14" s="67">
        <f>'Balance Sheet'!K13-'Balance Sheet'!L13</f>
        <v>-3124.575007060721</v>
      </c>
      <c r="I14" s="67">
        <f>'Balance Sheet'!L13-'Balance Sheet'!M13</f>
        <v>-4281.8788334350138</v>
      </c>
    </row>
    <row r="15" spans="3:9" ht="15" x14ac:dyDescent="0.2">
      <c r="C15" t="s">
        <v>68</v>
      </c>
      <c r="E15" s="67">
        <f>'Balance Sheet'!I25-'Balance Sheet'!H25</f>
        <v>12150</v>
      </c>
      <c r="F15" s="67">
        <f>'Balance Sheet'!J25-'Balance Sheet'!I25</f>
        <v>15430.5</v>
      </c>
      <c r="G15" s="67">
        <f>'Balance Sheet'!K25-'Balance Sheet'!J25</f>
        <v>19596.735000000001</v>
      </c>
      <c r="H15" s="67">
        <f>'Balance Sheet'!L25-'Balance Sheet'!K25</f>
        <v>24887.853449999995</v>
      </c>
      <c r="I15" s="67">
        <f>'Balance Sheet'!M25-'Balance Sheet'!L25</f>
        <v>31607.573881500008</v>
      </c>
    </row>
    <row r="16" spans="3:9" ht="15" x14ac:dyDescent="0.2">
      <c r="C16" s="61"/>
      <c r="E16" s="67"/>
      <c r="F16" s="67"/>
      <c r="G16" s="67"/>
      <c r="H16" s="67"/>
      <c r="I16" s="67"/>
    </row>
    <row r="17" spans="3:9" ht="15" x14ac:dyDescent="0.2">
      <c r="C17" t="s">
        <v>52</v>
      </c>
      <c r="E17" s="67">
        <f>-'Ratio &amp; Assumptions'!I36</f>
        <v>-150000</v>
      </c>
      <c r="F17" s="67">
        <f>-'Ratio &amp; Assumptions'!J36</f>
        <v>-156000</v>
      </c>
      <c r="G17" s="67">
        <f>-'Ratio &amp; Assumptions'!K36</f>
        <v>-165000</v>
      </c>
      <c r="H17" s="67">
        <f>-'Ratio &amp; Assumptions'!L36</f>
        <v>-177000</v>
      </c>
      <c r="I17" s="67">
        <f>-'Ratio &amp; Assumptions'!M36</f>
        <v>-186000</v>
      </c>
    </row>
    <row r="18" spans="3:9" ht="15" x14ac:dyDescent="0.2">
      <c r="C18" t="s">
        <v>69</v>
      </c>
      <c r="E18" s="67"/>
      <c r="F18" s="67"/>
      <c r="G18" s="67"/>
      <c r="H18" s="67"/>
      <c r="I18" s="67"/>
    </row>
    <row r="19" spans="3:9" ht="15" x14ac:dyDescent="0.2">
      <c r="C19" t="s">
        <v>74</v>
      </c>
      <c r="E19" s="67">
        <f>SUM(E5:E17)</f>
        <v>-3435.3800057085173</v>
      </c>
      <c r="F19" s="67">
        <f>SUM(F5:F17)</f>
        <v>11744.493104716094</v>
      </c>
      <c r="G19" s="67">
        <f>SUM(G5:G17)</f>
        <v>25317.631795345515</v>
      </c>
      <c r="H19" s="67">
        <f>SUM(H5:H17)</f>
        <v>34038.262572289474</v>
      </c>
      <c r="I19" s="67">
        <f>SUM(I5:I17)</f>
        <v>70575.480254891212</v>
      </c>
    </row>
    <row r="20" spans="3:9" ht="15" x14ac:dyDescent="0.2">
      <c r="E20" s="67"/>
      <c r="F20" s="67"/>
      <c r="G20" s="67"/>
      <c r="H20" s="67"/>
      <c r="I20" s="67"/>
    </row>
    <row r="21" spans="3:9" ht="16" x14ac:dyDescent="0.2">
      <c r="C21" s="1" t="s">
        <v>75</v>
      </c>
      <c r="E21" s="67">
        <f>IF(E22&gt;0,0,IF(E25&gt;E19,-E19,-E25))</f>
        <v>0</v>
      </c>
      <c r="F21" s="67">
        <f>IF(F22&gt;0,0,IF(F25&gt;F19,-F19,-F25))</f>
        <v>-11744.493104716094</v>
      </c>
      <c r="G21" s="67">
        <f>IF(G22&gt;0,0,IF(G25&gt;G19,-G19,-G25))</f>
        <v>-25317.631795345515</v>
      </c>
      <c r="H21" s="67">
        <f>IF(H22&gt;0,0,IF(H25&gt;H19,-H19,-H25))</f>
        <v>-34038.262572289474</v>
      </c>
      <c r="I21" s="67">
        <f>IF(I22&gt;0,0,IF(I25&gt;I19,-I19,-I25))</f>
        <v>-7334.9925333574356</v>
      </c>
    </row>
    <row r="22" spans="3:9" ht="16" x14ac:dyDescent="0.2">
      <c r="C22" s="1" t="s">
        <v>76</v>
      </c>
      <c r="E22" s="67">
        <f>IF(E19&lt;0,-E19, 0)</f>
        <v>3435.3800057085173</v>
      </c>
      <c r="F22" s="67">
        <f>IF(F19&lt;0,-F19, 0)</f>
        <v>0</v>
      </c>
      <c r="G22" s="67">
        <f>IF(G19&lt;0,-G19, 0)</f>
        <v>0</v>
      </c>
      <c r="H22" s="67">
        <f>IF(H19&lt;0,-H19, 0)</f>
        <v>0</v>
      </c>
      <c r="I22" s="67">
        <f>IF(I19&lt;0,-I19, 0)</f>
        <v>0</v>
      </c>
    </row>
    <row r="23" spans="3:9" ht="16" x14ac:dyDescent="0.2">
      <c r="C23" s="1" t="s">
        <v>77</v>
      </c>
      <c r="E23" s="67">
        <f>SUM(E19:E22)</f>
        <v>0</v>
      </c>
      <c r="F23" s="67">
        <f>SUM(F19:F22)</f>
        <v>0</v>
      </c>
      <c r="G23" s="67">
        <f>SUM(G19:G22)</f>
        <v>0</v>
      </c>
      <c r="H23" s="67">
        <f>SUM(H19:H22)</f>
        <v>0</v>
      </c>
      <c r="I23" s="67">
        <f>SUM(I19:I22)</f>
        <v>63240.487721533776</v>
      </c>
    </row>
    <row r="24" spans="3:9" ht="15" x14ac:dyDescent="0.2">
      <c r="E24" s="67"/>
      <c r="F24" s="67"/>
      <c r="G24" s="67"/>
      <c r="H24" s="67"/>
      <c r="I24" s="67"/>
    </row>
    <row r="25" spans="3:9" ht="16" x14ac:dyDescent="0.2">
      <c r="C25" s="1" t="s">
        <v>73</v>
      </c>
      <c r="E25" s="67">
        <f>'Balance Sheet'!H28</f>
        <v>75000</v>
      </c>
      <c r="F25" s="67">
        <f>'Balance Sheet'!I28</f>
        <v>78435.380005708517</v>
      </c>
      <c r="G25" s="67">
        <f>'Balance Sheet'!J28</f>
        <v>66690.886900992424</v>
      </c>
      <c r="H25" s="67">
        <f>'Balance Sheet'!K28</f>
        <v>41373.255105646909</v>
      </c>
      <c r="I25" s="67">
        <f>'Balance Sheet'!L28</f>
        <v>7334.9925333574356</v>
      </c>
    </row>
    <row r="26" spans="3:9" ht="16" x14ac:dyDescent="0.2">
      <c r="C26" s="1"/>
    </row>
    <row r="27" spans="3:9" ht="16" x14ac:dyDescent="0.2">
      <c r="C27" s="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ED2F-C0E8-7440-96B5-34833B57C6E0}">
  <dimension ref="A1:O54"/>
  <sheetViews>
    <sheetView showGridLines="0" tabSelected="1" zoomScale="75" zoomScaleNormal="97" workbookViewId="0">
      <selection activeCell="R23" sqref="R23"/>
    </sheetView>
  </sheetViews>
  <sheetFormatPr baseColWidth="10" defaultRowHeight="18" x14ac:dyDescent="0.2"/>
  <cols>
    <col min="1" max="1" width="3.796875" customWidth="1"/>
    <col min="3" max="3" width="23.19921875" customWidth="1"/>
    <col min="4" max="8" width="14.3984375" customWidth="1"/>
    <col min="9" max="13" width="14" style="44" customWidth="1"/>
  </cols>
  <sheetData>
    <row r="1" spans="1:15" s="1" customFormat="1" ht="23" x14ac:dyDescent="0.25">
      <c r="A1" s="66" t="s">
        <v>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5" s="1" customFormat="1" ht="18" customHeight="1" x14ac:dyDescent="0.2">
      <c r="I2" s="42"/>
      <c r="J2" s="42"/>
      <c r="K2" s="42"/>
      <c r="L2" s="42"/>
      <c r="M2" s="42"/>
    </row>
    <row r="3" spans="1:15" s="1" customFormat="1" ht="16" customHeight="1" x14ac:dyDescent="0.2">
      <c r="A3" s="11" t="s">
        <v>45</v>
      </c>
      <c r="B3" s="11"/>
      <c r="C3" s="11"/>
      <c r="I3" s="42"/>
      <c r="J3" s="42"/>
      <c r="K3" s="42"/>
      <c r="L3" s="42"/>
      <c r="M3" s="42"/>
    </row>
    <row r="4" spans="1:15" s="1" customFormat="1" ht="16" customHeight="1" x14ac:dyDescent="0.2">
      <c r="A4" s="12" t="s">
        <v>6</v>
      </c>
      <c r="B4" s="12"/>
      <c r="C4" s="12"/>
      <c r="I4" s="42"/>
      <c r="J4" s="42"/>
      <c r="K4" s="42"/>
      <c r="L4" s="42"/>
      <c r="M4" s="42"/>
    </row>
    <row r="5" spans="1:15" s="1" customFormat="1" ht="16" customHeight="1" thickBot="1" x14ac:dyDescent="0.25">
      <c r="D5" s="51" t="s">
        <v>20</v>
      </c>
      <c r="E5" s="51"/>
      <c r="F5" s="51"/>
      <c r="G5" s="51"/>
      <c r="H5" s="52"/>
      <c r="I5" s="53" t="s">
        <v>5</v>
      </c>
      <c r="J5" s="53"/>
      <c r="K5" s="53"/>
      <c r="L5" s="53"/>
      <c r="M5" s="53"/>
    </row>
    <row r="6" spans="1:15" s="1" customFormat="1" ht="16" customHeight="1" thickTop="1" x14ac:dyDescent="0.2">
      <c r="D6" s="19" t="s">
        <v>21</v>
      </c>
      <c r="E6" s="19" t="s">
        <v>21</v>
      </c>
      <c r="F6" s="19" t="s">
        <v>21</v>
      </c>
      <c r="G6" s="19" t="s">
        <v>21</v>
      </c>
      <c r="H6" s="13" t="s">
        <v>22</v>
      </c>
      <c r="I6" s="42"/>
      <c r="J6" s="42"/>
      <c r="K6" s="42"/>
      <c r="L6" s="42"/>
      <c r="M6" s="42"/>
    </row>
    <row r="7" spans="1:15" s="1" customFormat="1" ht="16" customHeight="1" x14ac:dyDescent="0.2">
      <c r="D7" s="3">
        <v>2003</v>
      </c>
      <c r="E7" s="3">
        <v>2004</v>
      </c>
      <c r="F7" s="3">
        <v>2005</v>
      </c>
      <c r="G7" s="3">
        <v>2006</v>
      </c>
      <c r="H7" s="7">
        <v>2007</v>
      </c>
      <c r="I7" s="43">
        <v>2008</v>
      </c>
      <c r="J7" s="43">
        <v>2009</v>
      </c>
      <c r="K7" s="43">
        <v>2010</v>
      </c>
      <c r="L7" s="43">
        <v>2011</v>
      </c>
      <c r="M7" s="43">
        <v>2012</v>
      </c>
    </row>
    <row r="8" spans="1:15" s="1" customFormat="1" ht="16" customHeight="1" x14ac:dyDescent="0.2">
      <c r="A8" s="2"/>
      <c r="E8" s="5"/>
      <c r="F8" s="5"/>
      <c r="G8" s="5"/>
      <c r="H8" s="8"/>
      <c r="I8"/>
      <c r="J8"/>
      <c r="K8"/>
      <c r="L8"/>
      <c r="M8"/>
      <c r="N8"/>
      <c r="O8"/>
    </row>
    <row r="9" spans="1:15" s="1" customFormat="1" ht="16" customHeight="1" x14ac:dyDescent="0.2">
      <c r="A9" s="68" t="s">
        <v>39</v>
      </c>
      <c r="B9" s="69"/>
      <c r="C9" s="69"/>
      <c r="D9" s="58">
        <v>0.30944871684092279</v>
      </c>
      <c r="E9" s="58">
        <v>0.31739446029991591</v>
      </c>
      <c r="F9" s="58">
        <v>0.33630324394382427</v>
      </c>
      <c r="G9" s="58">
        <v>0.29471086642458322</v>
      </c>
      <c r="H9" s="45">
        <v>0.26663055764315047</v>
      </c>
      <c r="I9" s="58">
        <v>-0.05</v>
      </c>
      <c r="J9" s="58">
        <v>0.12</v>
      </c>
      <c r="K9" s="58">
        <v>0.15</v>
      </c>
      <c r="L9" s="58">
        <v>0.17499999999999999</v>
      </c>
      <c r="M9" s="58">
        <v>0.22500000000000001</v>
      </c>
      <c r="N9"/>
      <c r="O9"/>
    </row>
    <row r="10" spans="1:15" s="1" customFormat="1" ht="16" customHeight="1" x14ac:dyDescent="0.2">
      <c r="A10" s="68"/>
      <c r="B10" s="70" t="s">
        <v>25</v>
      </c>
      <c r="C10" s="69"/>
      <c r="D10" s="58">
        <v>0.30944871684092279</v>
      </c>
      <c r="E10" s="58">
        <v>0.31739446029991614</v>
      </c>
      <c r="F10" s="58">
        <v>0.33630324394382405</v>
      </c>
      <c r="G10" s="58">
        <v>0.29471086642458322</v>
      </c>
      <c r="H10" s="45">
        <v>0.26663055764315025</v>
      </c>
      <c r="I10" s="58">
        <f t="shared" ref="I10:M12" si="0">I9</f>
        <v>-0.05</v>
      </c>
      <c r="J10" s="58">
        <f t="shared" si="0"/>
        <v>0.12</v>
      </c>
      <c r="K10" s="58">
        <f t="shared" si="0"/>
        <v>0.15</v>
      </c>
      <c r="L10" s="58">
        <f t="shared" si="0"/>
        <v>0.17499999999999999</v>
      </c>
      <c r="M10" s="58">
        <f t="shared" si="0"/>
        <v>0.22500000000000001</v>
      </c>
      <c r="N10"/>
      <c r="O10"/>
    </row>
    <row r="11" spans="1:15" s="1" customFormat="1" ht="16" customHeight="1" x14ac:dyDescent="0.2">
      <c r="A11" s="68"/>
      <c r="B11" s="70" t="s">
        <v>26</v>
      </c>
      <c r="C11" s="69"/>
      <c r="D11" s="58">
        <v>0.30944871684092279</v>
      </c>
      <c r="E11" s="58">
        <v>0.31739446029991569</v>
      </c>
      <c r="F11" s="58">
        <v>0.33630324394382427</v>
      </c>
      <c r="G11" s="58">
        <v>0.29471086642458322</v>
      </c>
      <c r="H11" s="45">
        <v>0.26663055764315025</v>
      </c>
      <c r="I11" s="58">
        <f t="shared" si="0"/>
        <v>-0.05</v>
      </c>
      <c r="J11" s="58">
        <f t="shared" si="0"/>
        <v>0.12</v>
      </c>
      <c r="K11" s="58">
        <f t="shared" si="0"/>
        <v>0.15</v>
      </c>
      <c r="L11" s="58">
        <f t="shared" si="0"/>
        <v>0.17499999999999999</v>
      </c>
      <c r="M11" s="58">
        <f t="shared" si="0"/>
        <v>0.22500000000000001</v>
      </c>
      <c r="N11"/>
      <c r="O11"/>
    </row>
    <row r="12" spans="1:15" s="1" customFormat="1" ht="16" customHeight="1" x14ac:dyDescent="0.2">
      <c r="A12" s="68"/>
      <c r="B12" s="70" t="s">
        <v>27</v>
      </c>
      <c r="C12" s="69"/>
      <c r="D12" s="58">
        <v>0.30944871684092279</v>
      </c>
      <c r="E12" s="58">
        <v>0.3173944602999148</v>
      </c>
      <c r="F12" s="58">
        <v>0.33630324394382494</v>
      </c>
      <c r="G12" s="58">
        <v>0.29471086642458255</v>
      </c>
      <c r="H12" s="45">
        <v>0.26663055764315091</v>
      </c>
      <c r="I12" s="58">
        <f t="shared" si="0"/>
        <v>-0.05</v>
      </c>
      <c r="J12" s="58">
        <f t="shared" si="0"/>
        <v>0.12</v>
      </c>
      <c r="K12" s="58">
        <f t="shared" si="0"/>
        <v>0.15</v>
      </c>
      <c r="L12" s="58">
        <f t="shared" si="0"/>
        <v>0.17499999999999999</v>
      </c>
      <c r="M12" s="58">
        <f t="shared" si="0"/>
        <v>0.22500000000000001</v>
      </c>
      <c r="N12"/>
      <c r="O12"/>
    </row>
    <row r="13" spans="1:15" s="1" customFormat="1" ht="16" customHeight="1" x14ac:dyDescent="0.2">
      <c r="A13" s="68"/>
      <c r="B13" s="69"/>
      <c r="C13" s="69"/>
      <c r="D13" s="58"/>
      <c r="E13" s="58"/>
      <c r="F13" s="58"/>
      <c r="G13" s="58"/>
      <c r="H13" s="45"/>
      <c r="I13" s="48"/>
      <c r="J13"/>
      <c r="K13"/>
      <c r="L13"/>
      <c r="M13"/>
      <c r="N13"/>
      <c r="O13"/>
    </row>
    <row r="14" spans="1:15" s="1" customFormat="1" ht="16" customHeight="1" x14ac:dyDescent="0.2">
      <c r="A14" s="68"/>
      <c r="B14" s="69"/>
      <c r="C14" s="69"/>
      <c r="D14" s="69"/>
      <c r="E14" s="71"/>
      <c r="F14" s="71"/>
      <c r="G14" s="71"/>
      <c r="H14" s="72"/>
      <c r="I14"/>
      <c r="J14"/>
      <c r="K14"/>
      <c r="L14"/>
      <c r="M14"/>
      <c r="N14"/>
      <c r="O14"/>
    </row>
    <row r="15" spans="1:15" s="1" customFormat="1" ht="16" customHeight="1" x14ac:dyDescent="0.2">
      <c r="A15" s="68" t="s">
        <v>28</v>
      </c>
      <c r="B15" s="70"/>
      <c r="C15" s="70"/>
      <c r="D15" s="69"/>
      <c r="E15" s="71"/>
      <c r="F15" s="71"/>
      <c r="G15" s="71"/>
      <c r="H15" s="72"/>
      <c r="I15"/>
      <c r="J15"/>
      <c r="K15"/>
      <c r="L15"/>
      <c r="M15"/>
      <c r="N15"/>
      <c r="O15"/>
    </row>
    <row r="16" spans="1:15" s="1" customFormat="1" ht="16" customHeight="1" x14ac:dyDescent="0.2">
      <c r="A16" s="69"/>
      <c r="B16" s="69" t="s">
        <v>29</v>
      </c>
      <c r="C16" s="69"/>
      <c r="D16" s="58">
        <v>0.28999999999999998</v>
      </c>
      <c r="E16" s="58">
        <v>0.29499999999999998</v>
      </c>
      <c r="F16" s="58">
        <v>0.3</v>
      </c>
      <c r="G16" s="58">
        <v>0.30499999999999999</v>
      </c>
      <c r="H16" s="45">
        <v>0.31</v>
      </c>
      <c r="I16" s="58">
        <v>0.30499999999999999</v>
      </c>
      <c r="J16" s="58">
        <v>0.31</v>
      </c>
      <c r="K16" s="58">
        <v>0.30499999999999999</v>
      </c>
      <c r="L16" s="58">
        <v>0.31</v>
      </c>
      <c r="M16" s="58">
        <v>0.30499999999999999</v>
      </c>
      <c r="N16"/>
      <c r="O16"/>
    </row>
    <row r="17" spans="1:15" s="1" customFormat="1" ht="16" customHeight="1" x14ac:dyDescent="0.2">
      <c r="A17" s="69"/>
      <c r="B17" s="69" t="s">
        <v>30</v>
      </c>
      <c r="C17" s="69"/>
      <c r="D17" s="58">
        <v>0.31</v>
      </c>
      <c r="E17" s="58">
        <v>0.32</v>
      </c>
      <c r="F17" s="58">
        <v>0.32</v>
      </c>
      <c r="G17" s="58">
        <v>0.33</v>
      </c>
      <c r="H17" s="45">
        <v>0.33</v>
      </c>
      <c r="I17" s="58">
        <v>0.3</v>
      </c>
      <c r="J17" s="58">
        <v>0.3</v>
      </c>
      <c r="K17" s="58">
        <v>0.31</v>
      </c>
      <c r="L17" s="58">
        <v>0.32</v>
      </c>
      <c r="M17" s="58">
        <v>0.33</v>
      </c>
      <c r="N17"/>
      <c r="O17"/>
    </row>
    <row r="18" spans="1:15" s="1" customFormat="1" ht="16" customHeight="1" x14ac:dyDescent="0.2">
      <c r="A18" s="69"/>
      <c r="B18" s="69" t="s">
        <v>31</v>
      </c>
      <c r="C18" s="69"/>
      <c r="D18" s="58">
        <v>8.9269601122711636E-2</v>
      </c>
      <c r="E18" s="58">
        <v>0.10299860656437766</v>
      </c>
      <c r="F18" s="58">
        <v>0.11561590570610132</v>
      </c>
      <c r="G18" s="58">
        <v>0.12533140953797406</v>
      </c>
      <c r="H18" s="45">
        <v>0.17316017316017315</v>
      </c>
      <c r="I18" s="58">
        <v>0.15</v>
      </c>
      <c r="J18" s="58">
        <f>I18</f>
        <v>0.15</v>
      </c>
      <c r="K18" s="58">
        <f>J18</f>
        <v>0.15</v>
      </c>
      <c r="L18" s="58">
        <f>K18</f>
        <v>0.15</v>
      </c>
      <c r="M18" s="58">
        <f>L18</f>
        <v>0.15</v>
      </c>
      <c r="N18"/>
      <c r="O18"/>
    </row>
    <row r="19" spans="1:15" s="1" customFormat="1" ht="16" customHeight="1" x14ac:dyDescent="0.2">
      <c r="A19" s="69"/>
      <c r="B19" s="69" t="s">
        <v>32</v>
      </c>
      <c r="C19" s="69"/>
      <c r="D19" s="58">
        <v>6.3530232792980951E-2</v>
      </c>
      <c r="E19" s="58">
        <v>6.4536017298128023E-2</v>
      </c>
      <c r="F19" s="58">
        <v>7.5236979646022634E-2</v>
      </c>
      <c r="G19" s="58">
        <v>9.022393472100998E-2</v>
      </c>
      <c r="H19" s="45">
        <v>9.9641311069882499E-2</v>
      </c>
      <c r="I19" s="58">
        <v>0.1</v>
      </c>
      <c r="J19" s="58">
        <v>0.1</v>
      </c>
      <c r="K19" s="58">
        <v>0.1</v>
      </c>
      <c r="L19" s="58">
        <v>0.1</v>
      </c>
      <c r="M19" s="58">
        <v>0.1</v>
      </c>
      <c r="N19"/>
      <c r="O19"/>
    </row>
    <row r="20" spans="1:15" s="1" customFormat="1" ht="16" customHeight="1" x14ac:dyDescent="0.2">
      <c r="A20" s="68"/>
      <c r="B20" s="69"/>
      <c r="C20" s="69"/>
      <c r="D20" s="69"/>
      <c r="E20" s="71"/>
      <c r="F20" s="71"/>
      <c r="G20" s="71"/>
      <c r="H20" s="45"/>
      <c r="I20"/>
      <c r="J20"/>
      <c r="K20"/>
      <c r="L20"/>
      <c r="M20"/>
      <c r="N20"/>
      <c r="O20"/>
    </row>
    <row r="21" spans="1:15" s="1" customFormat="1" ht="16" customHeight="1" x14ac:dyDescent="0.2">
      <c r="A21" s="68" t="s">
        <v>34</v>
      </c>
      <c r="B21" s="69"/>
      <c r="C21" s="69"/>
      <c r="D21" s="58">
        <v>1.1625536206099409</v>
      </c>
      <c r="E21" s="58">
        <v>1.0536046469251661</v>
      </c>
      <c r="F21" s="58">
        <v>0.90148764202881571</v>
      </c>
      <c r="G21" s="58">
        <v>0.79447893834645633</v>
      </c>
      <c r="H21" s="45">
        <f>'Income Statement'!H23/'Income Statement'!H11</f>
        <v>0.63003663003663002</v>
      </c>
      <c r="I21" s="58">
        <v>0.6</v>
      </c>
      <c r="J21" s="58">
        <v>0.57999999999999996</v>
      </c>
      <c r="K21" s="58">
        <v>0.55000000000000004</v>
      </c>
      <c r="L21" s="58">
        <v>0.53</v>
      </c>
      <c r="M21" s="58">
        <v>0.51</v>
      </c>
      <c r="N21"/>
      <c r="O21"/>
    </row>
    <row r="22" spans="1:15" s="1" customFormat="1" ht="16" customHeight="1" x14ac:dyDescent="0.2">
      <c r="A22" s="68"/>
      <c r="B22" s="69"/>
      <c r="C22" s="69"/>
      <c r="D22" s="69"/>
      <c r="E22" s="71"/>
      <c r="F22" s="71"/>
      <c r="G22" s="71"/>
      <c r="H22" s="45"/>
      <c r="I22" s="58"/>
      <c r="J22" s="58"/>
      <c r="K22" s="58"/>
      <c r="L22" s="58"/>
      <c r="M22" s="58"/>
      <c r="N22"/>
      <c r="O22"/>
    </row>
    <row r="23" spans="1:15" s="1" customFormat="1" ht="16" customHeight="1" x14ac:dyDescent="0.2">
      <c r="A23" s="68" t="s">
        <v>46</v>
      </c>
      <c r="B23" s="69"/>
      <c r="C23" s="69"/>
      <c r="D23" s="58">
        <v>0.26078604018250218</v>
      </c>
      <c r="E23" s="58">
        <v>0.22960446955748837</v>
      </c>
      <c r="F23" s="58">
        <v>0.29701820059377826</v>
      </c>
      <c r="G23" s="58">
        <v>0.26397292993630583</v>
      </c>
      <c r="H23" s="45">
        <v>0.22830776983402101</v>
      </c>
      <c r="I23" s="58">
        <v>0.2</v>
      </c>
      <c r="J23" s="58">
        <v>0.22500000000000001</v>
      </c>
      <c r="K23" s="58">
        <v>0.25</v>
      </c>
      <c r="L23" s="58">
        <v>0.27500000000000002</v>
      </c>
      <c r="M23" s="58">
        <v>0.3</v>
      </c>
      <c r="N23"/>
      <c r="O23"/>
    </row>
    <row r="24" spans="1:15" s="1" customFormat="1" ht="16" customHeight="1" x14ac:dyDescent="0.2">
      <c r="A24" s="68"/>
      <c r="B24" s="69"/>
      <c r="C24" s="69"/>
      <c r="D24" s="69"/>
      <c r="E24" s="71"/>
      <c r="F24" s="71"/>
      <c r="G24" s="71"/>
      <c r="H24" s="45"/>
      <c r="I24"/>
      <c r="J24"/>
      <c r="K24"/>
      <c r="L24"/>
      <c r="M24"/>
      <c r="N24"/>
      <c r="O24"/>
    </row>
    <row r="25" spans="1:15" s="1" customFormat="1" ht="16" customHeight="1" x14ac:dyDescent="0.2">
      <c r="A25" s="68" t="s">
        <v>47</v>
      </c>
      <c r="B25" s="69"/>
      <c r="C25" s="69"/>
      <c r="D25" s="58">
        <v>0.36681995047753801</v>
      </c>
      <c r="E25" s="58">
        <v>0.36499053575837381</v>
      </c>
      <c r="F25" s="58">
        <v>0.36500036506120859</v>
      </c>
      <c r="G25" s="58">
        <v>0.36499886703281287</v>
      </c>
      <c r="H25" s="45">
        <v>0.35856573705179284</v>
      </c>
      <c r="I25" s="58">
        <v>0.37</v>
      </c>
      <c r="J25" s="58">
        <f>I25</f>
        <v>0.37</v>
      </c>
      <c r="K25" s="58">
        <f>J25</f>
        <v>0.37</v>
      </c>
      <c r="L25" s="58">
        <f>K25</f>
        <v>0.37</v>
      </c>
      <c r="M25" s="58">
        <f>L25</f>
        <v>0.37</v>
      </c>
      <c r="N25"/>
      <c r="O25"/>
    </row>
    <row r="26" spans="1:15" s="1" customFormat="1" ht="16" customHeight="1" x14ac:dyDescent="0.2">
      <c r="A26" s="68"/>
      <c r="B26" s="69"/>
      <c r="C26" s="69"/>
      <c r="D26" s="58"/>
      <c r="E26" s="58"/>
      <c r="F26" s="58"/>
      <c r="G26" s="58"/>
      <c r="H26" s="45"/>
      <c r="I26" s="58"/>
      <c r="J26" s="58"/>
      <c r="K26" s="58"/>
      <c r="L26" s="58"/>
      <c r="M26" s="58"/>
      <c r="N26"/>
      <c r="O26"/>
    </row>
    <row r="27" spans="1:15" s="1" customFormat="1" ht="16" customHeight="1" x14ac:dyDescent="0.2">
      <c r="A27" s="33" t="s">
        <v>57</v>
      </c>
      <c r="E27" s="5"/>
      <c r="F27" s="5"/>
      <c r="G27" s="5"/>
      <c r="H27" s="8"/>
      <c r="I27"/>
      <c r="J27"/>
      <c r="K27"/>
      <c r="L27"/>
      <c r="M27"/>
      <c r="N27"/>
      <c r="O27"/>
    </row>
    <row r="28" spans="1:15" s="1" customFormat="1" ht="16" customHeight="1" x14ac:dyDescent="0.2">
      <c r="A28" s="33"/>
      <c r="B28" s="1" t="s">
        <v>59</v>
      </c>
      <c r="E28" s="5"/>
      <c r="F28" s="5"/>
      <c r="G28" s="5"/>
      <c r="H28" s="8"/>
      <c r="I28"/>
      <c r="J28"/>
      <c r="K28"/>
      <c r="L28"/>
      <c r="M28"/>
      <c r="N28"/>
      <c r="O28"/>
    </row>
    <row r="29" spans="1:15" s="1" customFormat="1" ht="16" customHeight="1" x14ac:dyDescent="0.2">
      <c r="B29" s="1" t="s">
        <v>48</v>
      </c>
      <c r="D29" s="34">
        <v>12.438232399051971</v>
      </c>
      <c r="E29" s="34">
        <v>13.145329434673446</v>
      </c>
      <c r="F29" s="34">
        <v>14.341759400257702</v>
      </c>
      <c r="G29" s="34">
        <v>13.613787454567168</v>
      </c>
      <c r="H29" s="39">
        <v>13.613787454567168</v>
      </c>
      <c r="I29" s="34">
        <v>14</v>
      </c>
      <c r="J29" s="34">
        <f t="shared" ref="J29:M30" si="1">I29</f>
        <v>14</v>
      </c>
      <c r="K29" s="34">
        <f t="shared" si="1"/>
        <v>14</v>
      </c>
      <c r="L29" s="34">
        <f t="shared" si="1"/>
        <v>14</v>
      </c>
      <c r="M29" s="34">
        <f t="shared" si="1"/>
        <v>14</v>
      </c>
      <c r="N29"/>
      <c r="O29"/>
    </row>
    <row r="30" spans="1:15" s="1" customFormat="1" ht="16" customHeight="1" x14ac:dyDescent="0.2">
      <c r="B30" s="1" t="s">
        <v>49</v>
      </c>
      <c r="D30" s="34">
        <v>54.079271300225948</v>
      </c>
      <c r="E30" s="34">
        <v>57.153606237710655</v>
      </c>
      <c r="F30" s="34">
        <v>62.355475653294356</v>
      </c>
      <c r="G30" s="34">
        <v>59.190380237248569</v>
      </c>
      <c r="H30" s="39">
        <v>59.190380237248569</v>
      </c>
      <c r="I30" s="34">
        <v>60</v>
      </c>
      <c r="J30" s="34">
        <f t="shared" si="1"/>
        <v>60</v>
      </c>
      <c r="K30" s="34">
        <f t="shared" si="1"/>
        <v>60</v>
      </c>
      <c r="L30" s="34">
        <f t="shared" si="1"/>
        <v>60</v>
      </c>
      <c r="M30" s="34">
        <f t="shared" si="1"/>
        <v>60</v>
      </c>
      <c r="N30"/>
      <c r="O30"/>
    </row>
    <row r="31" spans="1:15" s="1" customFormat="1" ht="16" customHeight="1" x14ac:dyDescent="0.2">
      <c r="B31" s="1" t="s">
        <v>4</v>
      </c>
      <c r="D31" s="34">
        <v>11.659059227511262</v>
      </c>
      <c r="E31" s="34">
        <v>11.29331269856309</v>
      </c>
      <c r="F31" s="34">
        <v>12.046630134338001</v>
      </c>
      <c r="G31" s="34">
        <v>11.347089292655403</v>
      </c>
      <c r="H31" s="39">
        <v>12.354063005926299</v>
      </c>
      <c r="I31" s="34">
        <v>11</v>
      </c>
      <c r="J31" s="34">
        <v>12</v>
      </c>
      <c r="K31" s="34">
        <v>11</v>
      </c>
      <c r="L31" s="34">
        <v>12</v>
      </c>
      <c r="M31" s="34">
        <v>11</v>
      </c>
      <c r="N31"/>
      <c r="O31"/>
    </row>
    <row r="32" spans="1:15" s="1" customFormat="1" ht="16" customHeight="1" x14ac:dyDescent="0.2">
      <c r="B32" s="1" t="s">
        <v>44</v>
      </c>
      <c r="D32" s="34">
        <v>4.2490543547599726</v>
      </c>
      <c r="E32" s="34">
        <v>3.2126226153124886</v>
      </c>
      <c r="F32" s="34">
        <v>5.9326749659085909</v>
      </c>
      <c r="G32" s="34">
        <v>7.4195699977446532</v>
      </c>
      <c r="H32" s="39">
        <v>4.463571428571429</v>
      </c>
      <c r="I32" s="34">
        <v>5</v>
      </c>
      <c r="J32" s="34">
        <v>5</v>
      </c>
      <c r="K32" s="34">
        <v>5</v>
      </c>
      <c r="L32" s="34">
        <v>5</v>
      </c>
      <c r="M32" s="34">
        <v>5</v>
      </c>
      <c r="N32"/>
      <c r="O32"/>
    </row>
    <row r="33" spans="1:15" s="1" customFormat="1" ht="16" customHeight="1" x14ac:dyDescent="0.2">
      <c r="B33" s="1" t="s">
        <v>56</v>
      </c>
      <c r="D33" s="34">
        <v>49.894414179138003</v>
      </c>
      <c r="E33" s="34">
        <v>45.828205578996716</v>
      </c>
      <c r="F33" s="34">
        <v>53.642324441932935</v>
      </c>
      <c r="G33" s="34">
        <v>51.267671150021528</v>
      </c>
      <c r="H33" s="39">
        <v>46.428571428571431</v>
      </c>
      <c r="I33" s="34">
        <v>50</v>
      </c>
      <c r="J33" s="34">
        <f>I33</f>
        <v>50</v>
      </c>
      <c r="K33" s="34">
        <f>J33</f>
        <v>50</v>
      </c>
      <c r="L33" s="34">
        <f>K33</f>
        <v>50</v>
      </c>
      <c r="M33" s="34">
        <f>L33</f>
        <v>50</v>
      </c>
      <c r="N33"/>
      <c r="O33"/>
    </row>
    <row r="34" spans="1:15" s="1" customFormat="1" ht="16" customHeight="1" x14ac:dyDescent="0.2">
      <c r="A34" s="2"/>
      <c r="D34" s="34"/>
      <c r="E34" s="34"/>
      <c r="F34" s="34"/>
      <c r="G34" s="34"/>
      <c r="H34" s="39"/>
      <c r="I34"/>
      <c r="J34"/>
      <c r="K34"/>
      <c r="L34"/>
      <c r="M34"/>
      <c r="N34"/>
      <c r="O34"/>
    </row>
    <row r="35" spans="1:15" s="1" customFormat="1" ht="16" customHeight="1" x14ac:dyDescent="0.2">
      <c r="A35" s="2" t="s">
        <v>60</v>
      </c>
      <c r="D35" s="34"/>
      <c r="E35" s="15">
        <v>1.0273207990599293</v>
      </c>
      <c r="F35" s="15">
        <v>0.22532966236777274</v>
      </c>
      <c r="G35" s="15">
        <v>4.4613292336802335E-2</v>
      </c>
      <c r="H35" s="45">
        <v>0.27359692072566721</v>
      </c>
      <c r="I35" s="48">
        <v>0.27</v>
      </c>
      <c r="J35" s="48">
        <v>0.27</v>
      </c>
      <c r="K35" s="48">
        <v>0.27</v>
      </c>
      <c r="L35" s="48">
        <v>0.27</v>
      </c>
      <c r="M35" s="48">
        <v>0.27</v>
      </c>
      <c r="N35"/>
      <c r="O35"/>
    </row>
    <row r="36" spans="1:15" s="1" customFormat="1" ht="16" customHeight="1" x14ac:dyDescent="0.2">
      <c r="A36" s="2" t="s">
        <v>52</v>
      </c>
      <c r="D36" s="38" t="s">
        <v>55</v>
      </c>
      <c r="E36" s="38" t="s">
        <v>55</v>
      </c>
      <c r="F36" s="21">
        <v>97503</v>
      </c>
      <c r="G36" s="21">
        <v>117316</v>
      </c>
      <c r="H36" s="26">
        <v>132230</v>
      </c>
      <c r="I36" s="21">
        <f>120*I44</f>
        <v>150000</v>
      </c>
      <c r="J36" s="21">
        <f>120*J44</f>
        <v>156000</v>
      </c>
      <c r="K36" s="21">
        <f>120*K44</f>
        <v>165000</v>
      </c>
      <c r="L36" s="21">
        <f>120*L44</f>
        <v>177000</v>
      </c>
      <c r="M36" s="21">
        <f>120*M44</f>
        <v>186000</v>
      </c>
      <c r="N36" s="34"/>
      <c r="O36"/>
    </row>
    <row r="37" spans="1:15" s="1" customFormat="1" ht="16" customHeight="1" x14ac:dyDescent="0.2">
      <c r="A37" s="2"/>
      <c r="E37" s="5"/>
      <c r="F37" s="5"/>
      <c r="G37" s="5"/>
      <c r="H37" s="8"/>
      <c r="I37" s="21"/>
      <c r="J37" s="21"/>
      <c r="K37" s="21"/>
      <c r="L37" s="21"/>
      <c r="M37" s="21"/>
      <c r="N37" s="34"/>
      <c r="O37"/>
    </row>
    <row r="38" spans="1:15" s="1" customFormat="1" ht="16" customHeight="1" x14ac:dyDescent="0.2">
      <c r="A38" s="2" t="s">
        <v>37</v>
      </c>
      <c r="D38" s="38" t="s">
        <v>55</v>
      </c>
      <c r="E38" s="38" t="s">
        <v>55</v>
      </c>
      <c r="F38" s="21">
        <v>30419</v>
      </c>
      <c r="G38" s="21">
        <v>40148</v>
      </c>
      <c r="H38" s="26">
        <v>48207</v>
      </c>
      <c r="I38" s="21">
        <f>_xlfn.FORECAST.LINEAR(I7,F38:H38,F7:H7)</f>
        <v>57379.333333332092</v>
      </c>
      <c r="J38" s="21">
        <f>_xlfn.FORECAST.LINEAR(J7,G38:I38,G7:I7)</f>
        <v>65809.444444440305</v>
      </c>
      <c r="K38" s="21">
        <f>_xlfn.FORECAST.LINEAR(K7,H38:J38,H7:J7)</f>
        <v>74734.370370365679</v>
      </c>
      <c r="L38" s="21">
        <f>_xlfn.FORECAST.LINEAR(L7,I38:K38,I7:K7)</f>
        <v>83329.419753082097</v>
      </c>
      <c r="M38" s="21">
        <f>_xlfn.FORECAST.LINEAR(M7,J38:L38,J7:L7)</f>
        <v>92144.386831272393</v>
      </c>
      <c r="N38"/>
      <c r="O38"/>
    </row>
    <row r="39" spans="1:15" s="1" customFormat="1" ht="16" customHeight="1" x14ac:dyDescent="0.2">
      <c r="A39" s="2" t="s">
        <v>58</v>
      </c>
      <c r="D39" s="38"/>
      <c r="E39" s="38"/>
      <c r="F39" s="36">
        <v>12.725730628883264</v>
      </c>
      <c r="G39" s="36">
        <v>12.564013151340042</v>
      </c>
      <c r="H39" s="37">
        <v>13.206588254817765</v>
      </c>
      <c r="I39" s="59">
        <v>6</v>
      </c>
      <c r="J39" s="59">
        <f t="shared" ref="J39:M40" si="2">I39</f>
        <v>6</v>
      </c>
      <c r="K39" s="59">
        <f t="shared" si="2"/>
        <v>6</v>
      </c>
      <c r="L39" s="59">
        <f t="shared" si="2"/>
        <v>6</v>
      </c>
      <c r="M39" s="59">
        <f t="shared" si="2"/>
        <v>6</v>
      </c>
      <c r="N39"/>
      <c r="O39"/>
    </row>
    <row r="40" spans="1:15" s="1" customFormat="1" ht="16" customHeight="1" x14ac:dyDescent="0.2">
      <c r="A40" s="2" t="s">
        <v>53</v>
      </c>
      <c r="D40" s="38" t="s">
        <v>55</v>
      </c>
      <c r="E40" s="38" t="s">
        <v>55</v>
      </c>
      <c r="F40" s="21">
        <v>2592</v>
      </c>
      <c r="G40" s="21">
        <v>4018</v>
      </c>
      <c r="H40" s="26">
        <v>11793</v>
      </c>
      <c r="I40" s="50">
        <v>12000</v>
      </c>
      <c r="J40" s="50">
        <f t="shared" si="2"/>
        <v>12000</v>
      </c>
      <c r="K40" s="50">
        <f t="shared" si="2"/>
        <v>12000</v>
      </c>
      <c r="L40" s="50">
        <f t="shared" si="2"/>
        <v>12000</v>
      </c>
      <c r="M40" s="50">
        <f t="shared" si="2"/>
        <v>12000</v>
      </c>
      <c r="N40"/>
      <c r="O40"/>
    </row>
    <row r="41" spans="1:15" s="1" customFormat="1" ht="16" customHeight="1" x14ac:dyDescent="0.2">
      <c r="A41" s="2"/>
      <c r="E41" s="5"/>
      <c r="F41" s="5"/>
      <c r="G41" s="5"/>
      <c r="H41" s="8"/>
      <c r="I41" s="21"/>
      <c r="J41"/>
      <c r="K41"/>
      <c r="L41" s="21"/>
      <c r="M41"/>
      <c r="N41"/>
      <c r="O41"/>
    </row>
    <row r="42" spans="1:15" s="1" customFormat="1" ht="16" customHeight="1" x14ac:dyDescent="0.2">
      <c r="A42" s="2" t="s">
        <v>62</v>
      </c>
      <c r="E42" s="5"/>
      <c r="F42" s="5"/>
      <c r="G42" s="5"/>
      <c r="H42" s="8"/>
      <c r="I42" s="48"/>
      <c r="J42" s="48"/>
      <c r="K42" s="48"/>
      <c r="L42" s="48"/>
      <c r="M42" s="48"/>
      <c r="N42"/>
      <c r="O42"/>
    </row>
    <row r="43" spans="1:15" s="1" customFormat="1" ht="16" customHeight="1" x14ac:dyDescent="0.2">
      <c r="A43" s="2"/>
      <c r="E43" s="5"/>
      <c r="F43" s="5"/>
      <c r="G43" s="5"/>
      <c r="H43" s="8"/>
      <c r="I43" t="s">
        <v>63</v>
      </c>
      <c r="J43"/>
      <c r="K43"/>
      <c r="L43"/>
      <c r="M43"/>
      <c r="N43"/>
      <c r="O43"/>
    </row>
    <row r="44" spans="1:15" s="1" customFormat="1" ht="16" customHeight="1" x14ac:dyDescent="0.2">
      <c r="A44" s="2"/>
      <c r="E44" s="5"/>
      <c r="F44" s="5"/>
      <c r="G44" s="5"/>
      <c r="H44" s="8"/>
      <c r="I44">
        <v>1250</v>
      </c>
      <c r="J44">
        <v>1300</v>
      </c>
      <c r="K44">
        <v>1375</v>
      </c>
      <c r="L44">
        <v>1475</v>
      </c>
      <c r="M44">
        <v>1550</v>
      </c>
      <c r="N44"/>
      <c r="O44"/>
    </row>
    <row r="45" spans="1:15" s="1" customFormat="1" ht="16" customHeight="1" x14ac:dyDescent="0.2">
      <c r="A45" s="2"/>
      <c r="E45" s="5"/>
      <c r="F45" s="5"/>
      <c r="G45" s="5"/>
      <c r="H45" s="8"/>
      <c r="I45"/>
      <c r="J45"/>
      <c r="K45"/>
      <c r="L45"/>
      <c r="M45"/>
      <c r="N45"/>
      <c r="O45"/>
    </row>
    <row r="46" spans="1:15" s="1" customFormat="1" ht="16" customHeight="1" x14ac:dyDescent="0.2">
      <c r="A46" s="2"/>
      <c r="E46" s="5"/>
      <c r="F46" s="5"/>
      <c r="G46" s="5"/>
      <c r="H46" s="8"/>
      <c r="I46" s="42"/>
      <c r="J46" s="42"/>
      <c r="K46" s="42"/>
      <c r="L46" s="42"/>
      <c r="M46" s="42"/>
    </row>
    <row r="47" spans="1:15" s="1" customFormat="1" ht="16" customHeight="1" x14ac:dyDescent="0.2">
      <c r="A47" s="2"/>
      <c r="E47" s="5"/>
      <c r="F47" s="5"/>
      <c r="G47" s="5"/>
      <c r="H47" s="8"/>
      <c r="I47" s="42"/>
      <c r="J47" s="42"/>
      <c r="K47" s="42"/>
      <c r="L47" s="42"/>
      <c r="M47" s="42"/>
    </row>
    <row r="48" spans="1:15" s="1" customFormat="1" ht="16" customHeight="1" x14ac:dyDescent="0.2">
      <c r="A48" s="2"/>
      <c r="E48" s="5"/>
      <c r="F48" s="5"/>
      <c r="G48" s="5"/>
      <c r="H48" s="8"/>
      <c r="I48" s="42"/>
      <c r="J48" s="42"/>
      <c r="K48" s="42"/>
      <c r="L48" s="42"/>
      <c r="M48" s="42"/>
    </row>
    <row r="49" spans="1:13" s="1" customFormat="1" ht="16" customHeight="1" x14ac:dyDescent="0.2">
      <c r="A49" s="2"/>
      <c r="E49" s="5"/>
      <c r="F49" s="5"/>
      <c r="G49" s="5"/>
      <c r="H49" s="8"/>
      <c r="I49" s="42"/>
      <c r="J49" s="42"/>
      <c r="K49" s="42"/>
      <c r="L49" s="42"/>
      <c r="M49" s="42"/>
    </row>
    <row r="50" spans="1:13" s="1" customFormat="1" ht="16" customHeight="1" x14ac:dyDescent="0.2">
      <c r="A50" s="2"/>
      <c r="E50" s="5"/>
      <c r="F50" s="5"/>
      <c r="G50" s="5"/>
      <c r="H50" s="8"/>
      <c r="I50" s="42"/>
      <c r="J50" s="42"/>
      <c r="K50" s="42"/>
      <c r="L50" s="42"/>
      <c r="M50" s="42"/>
    </row>
    <row r="51" spans="1:13" s="1" customFormat="1" ht="16" customHeight="1" x14ac:dyDescent="0.2">
      <c r="A51" s="2"/>
      <c r="E51" s="5"/>
      <c r="F51" s="5"/>
      <c r="G51" s="5"/>
      <c r="H51" s="8"/>
      <c r="I51" s="42"/>
      <c r="J51" s="42"/>
      <c r="K51" s="42"/>
      <c r="L51" s="42"/>
      <c r="M51" s="42"/>
    </row>
    <row r="52" spans="1:13" s="1" customFormat="1" ht="16" customHeight="1" x14ac:dyDescent="0.2">
      <c r="A52" s="2"/>
      <c r="E52" s="5"/>
      <c r="F52" s="5"/>
      <c r="G52" s="5"/>
      <c r="H52" s="8"/>
      <c r="I52" s="42"/>
      <c r="J52" s="42"/>
      <c r="K52" s="42"/>
      <c r="L52" s="42"/>
      <c r="M52" s="42"/>
    </row>
    <row r="53" spans="1:13" s="1" customFormat="1" ht="16" customHeight="1" x14ac:dyDescent="0.2">
      <c r="A53" s="2"/>
      <c r="E53" s="5"/>
      <c r="F53" s="5"/>
      <c r="G53" s="5"/>
      <c r="H53" s="8"/>
      <c r="I53" s="42"/>
      <c r="J53" s="42"/>
      <c r="K53" s="42"/>
      <c r="L53" s="42"/>
      <c r="M53" s="42"/>
    </row>
    <row r="54" spans="1:13" ht="12" customHeight="1" x14ac:dyDescent="0.2"/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>
    <_dlc_DocId xmlns="d314d7ef-47d2-49ec-98a2-beb62148fffe">2CPRT4FFDSWV-1991968691-8453</_dlc_DocId>
    <_dlc_DocIdUrl xmlns="d314d7ef-47d2-49ec-98a2-beb62148fffe">
      <Url>https://www.wmcasemgmt.com/sites/casemanagement/_layouts/15/DocIdRedir.aspx?ID=2CPRT4FFDSWV-1991968691-8453</Url>
      <Description>2CPRT4FFDSWV-1991968691-8453</Description>
    </_dlc_DocIdUrl>
    <Content_x0020_Name xmlns="3280b98c-2d7e-449d-b713-5a352c511315">9288</Content_x0020_Name>
    <Mode xmlns="3280b98c-2d7e-449d-b713-5a352c511315">2</Mode>
    <Content_x0020_Type xmlns="3280b98c-2d7e-449d-b713-5a352c511315">9</Content_x0020_Type>
    <Product_x0020_Type xmlns="3280b98c-2d7e-449d-b713-5a352c511315" xsi:nil="true"/>
    <Workflow_x0020_Instance_x0020_Name xmlns="3280b98c-2d7e-449d-b713-5a352c511315">9530</Workflow_x0020_Instance_x0020_Name>
    <Target_x0020_Audiences xmlns="3280b98c-2d7e-449d-b713-5a352c511315" xsi:nil="true"/>
    <Faculty_x0020_Sponsor xmlns="3280b98c-2d7e-449d-b713-5a352c511315">
      <UserInfo>
        <DisplayName>lipsonm@darden.virginia.edu</DisplayName>
        <AccountId>425</AccountId>
        <AccountType/>
      </UserInfo>
    </Faculty_x0020_Sponsor>
    <Reviewer xmlns="3280b98c-2d7e-449d-b713-5a352c511315">
      <UserInfo>
        <DisplayName>lipsonm@darden.virginia.edu</DisplayName>
        <AccountId>425</AccountId>
        <AccountType/>
      </UserInfo>
    </Reviewer>
    <Comments xmlns="3280b98c-2d7e-449d-b713-5a352c5113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423D29324CE4C81F8A9ED93508B14" ma:contentTypeVersion="21" ma:contentTypeDescription="Create a new document." ma:contentTypeScope="" ma:versionID="4a1c814954c8e34a0ee0b27822380e7f">
  <xsd:schema xmlns:xsd="http://www.w3.org/2001/XMLSchema" xmlns:xs="http://www.w3.org/2001/XMLSchema" xmlns:p="http://schemas.microsoft.com/office/2006/metadata/properties" xmlns:ns2="3280b98c-2d7e-449d-b713-5a352c511315" xmlns:ns3="d314d7ef-47d2-49ec-98a2-beb62148fffe" targetNamespace="http://schemas.microsoft.com/office/2006/metadata/properties" ma:root="true" ma:fieldsID="f34bca22ad38be946af4749cd0c495c3" ns2:_="" ns3:_="">
    <xsd:import namespace="3280b98c-2d7e-449d-b713-5a352c511315"/>
    <xsd:import namespace="d314d7ef-47d2-49ec-98a2-beb62148fffe"/>
    <xsd:element name="properties">
      <xsd:complexType>
        <xsd:sequence>
          <xsd:element name="documentManagement">
            <xsd:complexType>
              <xsd:all>
                <xsd:element ref="ns2:Content_x0020_Name"/>
                <xsd:element ref="ns2:Workflow_x0020_Instance_x0020_Name" minOccurs="0"/>
                <xsd:element ref="ns2:Workflow_x0020_Instance_x0020_Name_x003a_ID" minOccurs="0"/>
                <xsd:element ref="ns2:Content_x0020_Name_x003a_ID" minOccurs="0"/>
                <xsd:element ref="ns2:Product_x0020_Type" minOccurs="0"/>
                <xsd:element ref="ns2:Content_x0020_Name_x003a_Title" minOccurs="0"/>
                <xsd:element ref="ns2:Comments" minOccurs="0"/>
                <xsd:element ref="ns2:Target_x0020_Audiences" minOccurs="0"/>
                <xsd:element ref="ns2:Faculty_x0020_Sponsor" minOccurs="0"/>
                <xsd:element ref="ns2:Reviewer" minOccurs="0"/>
                <xsd:element ref="ns2:Mode" minOccurs="0"/>
                <xsd:element ref="ns2:Content_x0020_Type" minOccurs="0"/>
                <xsd:element ref="ns3:SharedWithUser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0b98c-2d7e-449d-b713-5a352c511315" elementFormDefault="qualified">
    <xsd:import namespace="http://schemas.microsoft.com/office/2006/documentManagement/types"/>
    <xsd:import namespace="http://schemas.microsoft.com/office/infopath/2007/PartnerControls"/>
    <xsd:element name="Content_x0020_Name" ma:index="8" ma:displayName="Content Name" ma:indexed="true" ma:list="{2a1dccef-5bbd-4239-9d2c-9dab3c3bdaeb}" ma:internalName="Content_x0020_Name" ma:readOnly="false" ma:showField="Title">
      <xsd:simpleType>
        <xsd:restriction base="dms:Lookup"/>
      </xsd:simpleType>
    </xsd:element>
    <xsd:element name="Workflow_x0020_Instance_x0020_Name" ma:index="9" nillable="true" ma:displayName="Workflow Instance Name" ma:list="{a3cd38c8-60df-4dc0-a0b2-c311c937c69e}" ma:internalName="Workflow_x0020_Instance_x0020_Name" ma:showField="Title">
      <xsd:simpleType>
        <xsd:restriction base="dms:Lookup"/>
      </xsd:simpleType>
    </xsd:element>
    <xsd:element name="Workflow_x0020_Instance_x0020_Name_x003a_ID" ma:index="10" nillable="true" ma:displayName="Workflow Instance Name:ID" ma:list="{a3cd38c8-60df-4dc0-a0b2-c311c937c69e}" ma:internalName="Workflow_x0020_Instance_x0020_Name_x003a_ID" ma:readOnly="true" ma:showField="ID" ma:web="d314d7ef-47d2-49ec-98a2-beb62148fffe">
      <xsd:simpleType>
        <xsd:restriction base="dms:Lookup"/>
      </xsd:simpleType>
    </xsd:element>
    <xsd:element name="Content_x0020_Name_x003a_ID" ma:index="11" nillable="true" ma:displayName="Content Name:ID" ma:list="{2a1dccef-5bbd-4239-9d2c-9dab3c3bdaeb}" ma:internalName="Content_x0020_Name_x003a_ID" ma:readOnly="true" ma:showField="ID" ma:web="d314d7ef-47d2-49ec-98a2-beb62148fffe">
      <xsd:simpleType>
        <xsd:restriction base="dms:Lookup"/>
      </xsd:simpleType>
    </xsd:element>
    <xsd:element name="Product_x0020_Type" ma:index="12" nillable="true" ma:displayName="Product Type" ma:list="{b8add45d-a9e3-4b61-9172-dff46669a501}" ma:internalName="Product_x0020_Type" ma:showField="Title">
      <xsd:simpleType>
        <xsd:restriction base="dms:Lookup"/>
      </xsd:simpleType>
    </xsd:element>
    <xsd:element name="Content_x0020_Name_x003a_Title" ma:index="13" nillable="true" ma:displayName="Content Name:Title" ma:list="{2a1dccef-5bbd-4239-9d2c-9dab3c3bdaeb}" ma:internalName="Content_x0020_Name_x003a_Title" ma:readOnly="true" ma:showField="Title0" ma:web="d314d7ef-47d2-49ec-98a2-beb62148fffe">
      <xsd:simpleType>
        <xsd:restriction base="dms:Lookup"/>
      </xsd:simpleType>
    </xsd:element>
    <xsd:element name="Comments" ma:index="14" nillable="true" ma:displayName="Comments" ma:internalName="Comments">
      <xsd:simpleType>
        <xsd:restriction base="dms:Note">
          <xsd:maxLength value="255"/>
        </xsd:restriction>
      </xsd:simpleType>
    </xsd:element>
    <xsd:element name="Target_x0020_Audiences" ma:index="15" nillable="true" ma:displayName="Target Audiences" ma:internalName="Target_x0020_Audiences">
      <xsd:simpleType>
        <xsd:restriction base="dms:Unknown"/>
      </xsd:simpleType>
    </xsd:element>
    <xsd:element name="Faculty_x0020_Sponsor" ma:index="16" nillable="true" ma:displayName="Faculty Sponsor" ma:list="UserInfo" ma:SharePointGroup="0" ma:internalName="Faculty_x0020_Sponso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ewer" ma:index="17" nillable="true" ma:displayName="Reviewer" ma:list="UserInfo" ma:SharePointGroup="0" ma:internalName="Reviewer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de" ma:index="18" nillable="true" ma:displayName="Mode" ma:internalName="Mode">
      <xsd:simpleType>
        <xsd:restriction base="dms:Text">
          <xsd:maxLength value="255"/>
        </xsd:restriction>
      </xsd:simpleType>
    </xsd:element>
    <xsd:element name="Content_x0020_Type" ma:index="20" nillable="true" ma:displayName="Content Type" ma:list="{766e563b-7587-40d5-a39c-32c550c72680}" ma:internalName="Content_x0020_Type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4d7ef-47d2-49ec-98a2-beb62148fffe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6AA9A746-47E4-484C-853A-B5AC8AA1F01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69A3CB4-3C81-40E2-9C85-7A1740C226C6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3280b98c-2d7e-449d-b713-5a352c511315"/>
    <ds:schemaRef ds:uri="http://schemas.microsoft.com/office/infopath/2007/PartnerControls"/>
    <ds:schemaRef ds:uri="d314d7ef-47d2-49ec-98a2-beb62148fff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08776C4-E18A-48C0-8F00-4AAAA89E33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EA748F0-CABF-4115-BCFD-49F2FD5281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80b98c-2d7e-449d-b713-5a352c511315"/>
    <ds:schemaRef ds:uri="d314d7ef-47d2-49ec-98a2-beb62148f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C92B0A9-B0E6-46A0-B059-EA7D2CD7B2C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Ratio &amp; Assumptions</vt:lpstr>
    </vt:vector>
  </TitlesOfParts>
  <Company>Darden Graduate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Panera Bread Company (SPREADSHEET)</dc:title>
  <dc:subject/>
  <dc:creator>Gaurav Gupta</dc:creator>
  <cp:keywords/>
  <dc:description/>
  <cp:lastModifiedBy>Luke Buddie</cp:lastModifiedBy>
  <cp:lastPrinted>2008-08-28T15:02:43Z</cp:lastPrinted>
  <dcterms:created xsi:type="dcterms:W3CDTF">2008-08-28T15:02:43Z</dcterms:created>
  <dcterms:modified xsi:type="dcterms:W3CDTF">2025-12-19T08:18:19Z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29</vt:lpwstr>
  </property>
  <property fmtid="{D5CDD505-2E9C-101B-9397-08002B2CF9AE}" pid="3" name="SubjectArea">
    <vt:lpwstr>Finance</vt:lpwstr>
  </property>
  <property fmtid="{D5CDD505-2E9C-101B-9397-08002B2CF9AE}" pid="4" name="VersionModifier">
    <vt:lpwstr>148</vt:lpwstr>
  </property>
  <property fmtid="{D5CDD505-2E9C-101B-9397-08002B2CF9AE}" pid="5" name="MetadataURL">
    <vt:lpwstr>http://casemanagement.darden.virginia.edu/Lists/Editing%20Metadata/DispForm.aspx?ID=1480, View Document Metadata</vt:lpwstr>
  </property>
  <property fmtid="{D5CDD505-2E9C-101B-9397-08002B2CF9AE}" pid="6" name="ApprovalState">
    <vt:lpwstr>Approved</vt:lpwstr>
  </property>
  <property fmtid="{D5CDD505-2E9C-101B-9397-08002B2CF9AE}" pid="7" name="VersionModifierName">
    <vt:lpwstr>DARDEN\lemleya</vt:lpwstr>
  </property>
  <property fmtid="{D5CDD505-2E9C-101B-9397-08002B2CF9AE}" pid="8" name="DateInEditing">
    <vt:lpwstr>2009-08-20T13:09:50Z</vt:lpwstr>
  </property>
  <property fmtid="{D5CDD505-2E9C-101B-9397-08002B2CF9AE}" pid="9" name="DBPEditor">
    <vt:lpwstr>148</vt:lpwstr>
  </property>
  <property fmtid="{D5CDD505-2E9C-101B-9397-08002B2CF9AE}" pid="10" name="EditingStatus">
    <vt:lpwstr>Metadata Review Complete</vt:lpwstr>
  </property>
  <property fmtid="{D5CDD505-2E9C-101B-9397-08002B2CF9AE}" pid="11" name="Alternate">
    <vt:lpwstr/>
  </property>
  <property fmtid="{D5CDD505-2E9C-101B-9397-08002B2CF9AE}" pid="12" name="RWP">
    <vt:lpwstr/>
  </property>
  <property fmtid="{D5CDD505-2E9C-101B-9397-08002B2CF9AE}" pid="13" name="DatePending">
    <vt:lpwstr>2009-09-01T08:16:06Z</vt:lpwstr>
  </property>
  <property fmtid="{D5CDD505-2E9C-101B-9397-08002B2CF9AE}" pid="14" name="XMLFilename">
    <vt:lpwstr/>
  </property>
  <property fmtid="{D5CDD505-2E9C-101B-9397-08002B2CF9AE}" pid="15" name="RejectionText">
    <vt:lpwstr/>
  </property>
  <property fmtid="{D5CDD505-2E9C-101B-9397-08002B2CF9AE}" pid="16" name="Subject">
    <vt:lpwstr/>
  </property>
  <property fmtid="{D5CDD505-2E9C-101B-9397-08002B2CF9AE}" pid="17" name="CCFileType">
    <vt:lpwstr>Supplemental File</vt:lpwstr>
  </property>
  <property fmtid="{D5CDD505-2E9C-101B-9397-08002B2CF9AE}" pid="18" name="FileGUID">
    <vt:lpwstr>49a4bc95-cd3e-4aaa-b16b-6655336d993c</vt:lpwstr>
  </property>
  <property fmtid="{D5CDD505-2E9C-101B-9397-08002B2CF9AE}" pid="19" name="_Category">
    <vt:lpwstr/>
  </property>
  <property fmtid="{D5CDD505-2E9C-101B-9397-08002B2CF9AE}" pid="20" name="Categories">
    <vt:lpwstr/>
  </property>
  <property fmtid="{D5CDD505-2E9C-101B-9397-08002B2CF9AE}" pid="21" name="Approval Level">
    <vt:lpwstr/>
  </property>
  <property fmtid="{D5CDD505-2E9C-101B-9397-08002B2CF9AE}" pid="22" name="_Comments">
    <vt:lpwstr/>
  </property>
  <property fmtid="{D5CDD505-2E9C-101B-9397-08002B2CF9AE}" pid="23" name="Assigned To">
    <vt:lpwstr/>
  </property>
  <property fmtid="{D5CDD505-2E9C-101B-9397-08002B2CF9AE}" pid="24" name="Status">
    <vt:lpwstr>Approved</vt:lpwstr>
  </property>
  <property fmtid="{D5CDD505-2E9C-101B-9397-08002B2CF9AE}" pid="25" name="DateOfApproval">
    <vt:lpwstr>2009-09-01T11:34:03Z</vt:lpwstr>
  </property>
  <property fmtid="{D5CDD505-2E9C-101B-9397-08002B2CF9AE}" pid="26" name="Keywords">
    <vt:lpwstr/>
  </property>
  <property fmtid="{D5CDD505-2E9C-101B-9397-08002B2CF9AE}" pid="27" name="DateEditingEnded">
    <vt:lpwstr/>
  </property>
  <property fmtid="{D5CDD505-2E9C-101B-9397-08002B2CF9AE}" pid="28" name="CheckinCommentLine">
    <vt:lpwstr/>
  </property>
  <property fmtid="{D5CDD505-2E9C-101B-9397-08002B2CF9AE}" pid="29" name="_Author">
    <vt:lpwstr>Gaurav Gupta</vt:lpwstr>
  </property>
  <property fmtid="{D5CDD505-2E9C-101B-9397-08002B2CF9AE}" pid="30" name="ContentType">
    <vt:lpwstr>Document</vt:lpwstr>
  </property>
  <property fmtid="{D5CDD505-2E9C-101B-9397-08002B2CF9AE}" pid="31" name="display_urn:schemas-microsoft-com:office:office#Editor">
    <vt:lpwstr>Riddler, Scott</vt:lpwstr>
  </property>
  <property fmtid="{D5CDD505-2E9C-101B-9397-08002B2CF9AE}" pid="32" name="display_urn:schemas-microsoft-com:office:office#Author">
    <vt:lpwstr>Alston, Sherry</vt:lpwstr>
  </property>
  <property fmtid="{D5CDD505-2E9C-101B-9397-08002B2CF9AE}" pid="33" name="ContentTypeId">
    <vt:lpwstr>0x010100ACE423D29324CE4C81F8A9ED93508B14</vt:lpwstr>
  </property>
  <property fmtid="{D5CDD505-2E9C-101B-9397-08002B2CF9AE}" pid="34" name="MetadataID">
    <vt:lpwstr>1480</vt:lpwstr>
  </property>
  <property fmtid="{D5CDD505-2E9C-101B-9397-08002B2CF9AE}" pid="35" name="MetadataLibraryDisplayFormLink">
    <vt:lpwstr>http://casemanagement.darden.virginia.edu/Lists/Editing Metadata/DispForm.aspx</vt:lpwstr>
  </property>
  <property fmtid="{D5CDD505-2E9C-101B-9397-08002B2CF9AE}" pid="36" name="MetadataLibrary">
    <vt:lpwstr>Editing Metadata</vt:lpwstr>
  </property>
  <property fmtid="{D5CDD505-2E9C-101B-9397-08002B2CF9AE}" pid="37" name="WorkflowCreationPath">
    <vt:lpwstr>b748db19-edc5-44e5-a2de-883bf10fe2f3,5;b748db19-edc5-44e5-a2de-883bf10fe2f3,7;b748db19-edc5-44e5-a2de-883bf10fe2f3,7;b748db19-edc5-44e5-a2de-883bf10fe2f3,7;b748db19-edc5-44e5-a2de-883bf10fe2f3,7;b748db19-edc5-44e5-a2de-883bf10fe2f3,7;b748db19-edc5-44e5-a2</vt:lpwstr>
  </property>
  <property fmtid="{D5CDD505-2E9C-101B-9397-08002B2CF9AE}" pid="38" name="SWAT">
    <vt:lpwstr>true</vt:lpwstr>
  </property>
  <property fmtid="{D5CDD505-2E9C-101B-9397-08002B2CF9AE}" pid="39" name="Admin Assistant">
    <vt:lpwstr>Spradlin, Karen242</vt:lpwstr>
  </property>
  <property fmtid="{D5CDD505-2E9C-101B-9397-08002B2CF9AE}" pid="40" name="2nd Editor*">
    <vt:lpwstr/>
  </property>
  <property fmtid="{D5CDD505-2E9C-101B-9397-08002B2CF9AE}" pid="41" name="Edit Type">
    <vt:lpwstr>SWAT/Truncated</vt:lpwstr>
  </property>
  <property fmtid="{D5CDD505-2E9C-101B-9397-08002B2CF9AE}" pid="42" name="Editing Status">
    <vt:lpwstr>Editing Complete</vt:lpwstr>
  </property>
  <property fmtid="{D5CDD505-2E9C-101B-9397-08002B2CF9AE}" pid="43" name="Modified">
    <vt:lpwstr>2012-06-27T12:47:34Z</vt:lpwstr>
  </property>
  <property fmtid="{D5CDD505-2E9C-101B-9397-08002B2CF9AE}" pid="44" name="Editor">
    <vt:lpwstr>DARDEN\alstons66</vt:lpwstr>
  </property>
  <property fmtid="{D5CDD505-2E9C-101B-9397-08002B2CF9AE}" pid="45" name="_dlc_DocIdItemGuid">
    <vt:lpwstr>b495f73a-1959-4398-844d-92a09eaf89f7</vt:lpwstr>
  </property>
  <property fmtid="{D5CDD505-2E9C-101B-9397-08002B2CF9AE}" pid="46" name="Order">
    <vt:r8>1264200</vt:r8>
  </property>
  <property fmtid="{D5CDD505-2E9C-101B-9397-08002B2CF9AE}" pid="47" name="xd_ProgID">
    <vt:lpwstr/>
  </property>
  <property fmtid="{D5CDD505-2E9C-101B-9397-08002B2CF9AE}" pid="48" name="TemplateUrl">
    <vt:lpwstr/>
  </property>
  <property fmtid="{D5CDD505-2E9C-101B-9397-08002B2CF9AE}" pid="49" name="_CopySource">
    <vt:lpwstr>http://www.wmcasemgmt.com/sites/casemanagement/Gold Library/F-1575X.xlsx</vt:lpwstr>
  </property>
  <property fmtid="{D5CDD505-2E9C-101B-9397-08002B2CF9AE}" pid="50" name="Faculty Sponsor">
    <vt:lpwstr>425;#lipsonm@darden.virginia.edu</vt:lpwstr>
  </property>
  <property fmtid="{D5CDD505-2E9C-101B-9397-08002B2CF9AE}" pid="51" name="Reviewer">
    <vt:lpwstr>425;#lipsonm@darden.virginia.edu</vt:lpwstr>
  </property>
  <property fmtid="{D5CDD505-2E9C-101B-9397-08002B2CF9AE}" pid="52" name="Content Type">
    <vt:lpwstr>9</vt:lpwstr>
  </property>
  <property fmtid="{D5CDD505-2E9C-101B-9397-08002B2CF9AE}" pid="53" name="Product Type">
    <vt:lpwstr/>
  </property>
  <property fmtid="{D5CDD505-2E9C-101B-9397-08002B2CF9AE}" pid="54" name="Workflow Instance Name">
    <vt:lpwstr>8312</vt:lpwstr>
  </property>
  <property fmtid="{D5CDD505-2E9C-101B-9397-08002B2CF9AE}" pid="55" name="Target Audiences">
    <vt:lpwstr/>
  </property>
  <property fmtid="{D5CDD505-2E9C-101B-9397-08002B2CF9AE}" pid="56" name="Mode">
    <vt:lpwstr>2</vt:lpwstr>
  </property>
  <property fmtid="{D5CDD505-2E9C-101B-9397-08002B2CF9AE}" pid="57" name="Comments">
    <vt:lpwstr/>
  </property>
  <property fmtid="{D5CDD505-2E9C-101B-9397-08002B2CF9AE}" pid="58" name="Submitted By">
    <vt:lpwstr>MullinL@darden.virginia.edu</vt:lpwstr>
  </property>
  <property fmtid="{D5CDD505-2E9C-101B-9397-08002B2CF9AE}" pid="59" name="Submission Status">
    <vt:lpwstr>Accepted</vt:lpwstr>
  </property>
  <property fmtid="{D5CDD505-2E9C-101B-9397-08002B2CF9AE}" pid="60" name="Email Time Stamp">
    <vt:filetime>2019-12-16T14:20:44Z</vt:filetime>
  </property>
  <property fmtid="{D5CDD505-2E9C-101B-9397-08002B2CF9AE}" pid="61" name="Workflow Template Name">
    <vt:lpwstr>13</vt:lpwstr>
  </property>
  <property fmtid="{D5CDD505-2E9C-101B-9397-08002B2CF9AE}" pid="62" name="Acceptance Task ID">
    <vt:lpwstr>83565</vt:lpwstr>
  </property>
  <property fmtid="{D5CDD505-2E9C-101B-9397-08002B2CF9AE}" pid="63" name="Reason For Rejection">
    <vt:lpwstr/>
  </property>
  <property fmtid="{D5CDD505-2E9C-101B-9397-08002B2CF9AE}" pid="64" name="Task ID">
    <vt:lpwstr>71867</vt:lpwstr>
  </property>
  <property fmtid="{D5CDD505-2E9C-101B-9397-08002B2CF9AE}" pid="65" name="Upload Mode">
    <vt:lpwstr>Email</vt:lpwstr>
  </property>
  <property fmtid="{D5CDD505-2E9C-101B-9397-08002B2CF9AE}" pid="66" name="Email Subject">
    <vt:lpwstr>FW: More work...</vt:lpwstr>
  </property>
  <property fmtid="{D5CDD505-2E9C-101B-9397-08002B2CF9AE}" pid="67" name="Submitter">
    <vt:lpwstr/>
  </property>
  <property fmtid="{D5CDD505-2E9C-101B-9397-08002B2CF9AE}" pid="68" name="Content_x0020_Type">
    <vt:lpwstr>9</vt:lpwstr>
  </property>
  <property fmtid="{D5CDD505-2E9C-101B-9397-08002B2CF9AE}" pid="69" name="Workflow_x0020_Instance_x0020_Name">
    <vt:lpwstr>8312</vt:lpwstr>
  </property>
</Properties>
</file>