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buddie/Downloads/"/>
    </mc:Choice>
  </mc:AlternateContent>
  <xr:revisionPtr revIDLastSave="0" documentId="8_{9BEFCF98-C823-2F49-820F-C8E656F5916B}" xr6:coauthVersionLast="47" xr6:coauthVersionMax="47" xr10:uidLastSave="{00000000-0000-0000-0000-000000000000}"/>
  <bookViews>
    <workbookView xWindow="1600" yWindow="1120" windowWidth="24480" windowHeight="15520" tabRatio="745" xr2:uid="{00000000-000D-0000-FFFF-FFFF00000000}"/>
  </bookViews>
  <sheets>
    <sheet name="LBO Model Base Case" sheetId="50" r:id="rId1"/>
    <sheet name="LBO Model- OPTIMAL CASE" sheetId="51" r:id="rId2"/>
    <sheet name="LBO Model- 4x Debt A" sheetId="54" r:id="rId3"/>
    <sheet name="LBO Model- 3x Debt A" sheetId="53" r:id="rId4"/>
    <sheet name="Hayden Notes" sheetId="47" r:id="rId5"/>
    <sheet name="Ex 10 Projections" sheetId="28" r:id="rId6"/>
    <sheet name="Ex 11 Comps" sheetId="43" r:id="rId7"/>
  </sheets>
  <externalReferences>
    <externalReference r:id="rId8"/>
  </externalReferences>
  <definedNames>
    <definedName name="avgint">'[1]LBO Model'!$K$37</definedName>
    <definedName name="fincase">'[1]LBO Model'!$K$6</definedName>
    <definedName name="tax">'[1]LBO Model'!$K$16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51" l="1"/>
  <c r="M9" i="51"/>
  <c r="M8" i="51"/>
  <c r="M7" i="51"/>
  <c r="M6" i="51"/>
  <c r="E76" i="51" l="1"/>
  <c r="H13" i="50"/>
  <c r="E37" i="50"/>
  <c r="E93" i="54"/>
  <c r="I34" i="54"/>
  <c r="H34" i="54"/>
  <c r="G34" i="54"/>
  <c r="F34" i="54"/>
  <c r="E34" i="54"/>
  <c r="D34" i="54"/>
  <c r="B34" i="54"/>
  <c r="I33" i="54"/>
  <c r="H33" i="54"/>
  <c r="G33" i="54"/>
  <c r="F33" i="54"/>
  <c r="E33" i="54"/>
  <c r="D33" i="54"/>
  <c r="B33" i="54"/>
  <c r="B32" i="54"/>
  <c r="B29" i="54"/>
  <c r="I28" i="54"/>
  <c r="H28" i="54"/>
  <c r="G28" i="54"/>
  <c r="F28" i="54"/>
  <c r="E28" i="54"/>
  <c r="D28" i="54"/>
  <c r="B28" i="54"/>
  <c r="I27" i="54"/>
  <c r="H27" i="54"/>
  <c r="G27" i="54"/>
  <c r="F27" i="54"/>
  <c r="E27" i="54"/>
  <c r="D27" i="54"/>
  <c r="B27" i="54"/>
  <c r="B26" i="54"/>
  <c r="I25" i="54"/>
  <c r="H25" i="54"/>
  <c r="G25" i="54"/>
  <c r="F25" i="54"/>
  <c r="F26" i="54" s="1"/>
  <c r="E25" i="54"/>
  <c r="D25" i="54"/>
  <c r="B25" i="54"/>
  <c r="I24" i="54"/>
  <c r="H24" i="54"/>
  <c r="G24" i="54"/>
  <c r="F24" i="54"/>
  <c r="E24" i="54"/>
  <c r="D24" i="54"/>
  <c r="B24" i="54"/>
  <c r="E15" i="54"/>
  <c r="I57" i="54" s="1"/>
  <c r="I58" i="54" s="1"/>
  <c r="I59" i="54" s="1"/>
  <c r="F14" i="54"/>
  <c r="F13" i="54"/>
  <c r="D12" i="54"/>
  <c r="I8" i="54"/>
  <c r="I7" i="54"/>
  <c r="D6" i="54"/>
  <c r="E14" i="54" s="1"/>
  <c r="E75" i="54" s="1"/>
  <c r="E94" i="53"/>
  <c r="I35" i="53"/>
  <c r="H35" i="53"/>
  <c r="G35" i="53"/>
  <c r="F35" i="53"/>
  <c r="E35" i="53"/>
  <c r="D35" i="53"/>
  <c r="B35" i="53"/>
  <c r="I34" i="53"/>
  <c r="H34" i="53"/>
  <c r="G34" i="53"/>
  <c r="F34" i="53"/>
  <c r="E34" i="53"/>
  <c r="D34" i="53"/>
  <c r="B34" i="53"/>
  <c r="B33" i="53"/>
  <c r="B30" i="53"/>
  <c r="I29" i="53"/>
  <c r="H29" i="53"/>
  <c r="G29" i="53"/>
  <c r="F29" i="53"/>
  <c r="E29" i="53"/>
  <c r="D29" i="53"/>
  <c r="B29" i="53"/>
  <c r="I28" i="53"/>
  <c r="H28" i="53"/>
  <c r="G28" i="53"/>
  <c r="F28" i="53"/>
  <c r="E28" i="53"/>
  <c r="D28" i="53"/>
  <c r="B28" i="53"/>
  <c r="B27" i="53"/>
  <c r="I26" i="53"/>
  <c r="H26" i="53"/>
  <c r="G26" i="53"/>
  <c r="G27" i="53" s="1"/>
  <c r="G30" i="53" s="1"/>
  <c r="F26" i="53"/>
  <c r="E26" i="53"/>
  <c r="D26" i="53"/>
  <c r="B26" i="53"/>
  <c r="I25" i="53"/>
  <c r="H25" i="53"/>
  <c r="H27" i="53" s="1"/>
  <c r="H30" i="53" s="1"/>
  <c r="G25" i="53"/>
  <c r="F25" i="53"/>
  <c r="E25" i="53"/>
  <c r="D25" i="53"/>
  <c r="D27" i="53" s="1"/>
  <c r="D30" i="53" s="1"/>
  <c r="D31" i="53" s="1"/>
  <c r="D33" i="53" s="1"/>
  <c r="B25" i="53"/>
  <c r="E16" i="53"/>
  <c r="I58" i="53" s="1"/>
  <c r="I59" i="53" s="1"/>
  <c r="I60" i="53" s="1"/>
  <c r="F15" i="53"/>
  <c r="G50" i="53" s="1"/>
  <c r="F14" i="53"/>
  <c r="E14" i="53"/>
  <c r="I71" i="53" s="1"/>
  <c r="D13" i="53"/>
  <c r="I7" i="53" s="1"/>
  <c r="D102" i="53" s="1"/>
  <c r="I9" i="53"/>
  <c r="I8" i="53"/>
  <c r="D7" i="53"/>
  <c r="E15" i="53" s="1"/>
  <c r="E93" i="51"/>
  <c r="I34" i="51"/>
  <c r="H34" i="51"/>
  <c r="G34" i="51"/>
  <c r="F34" i="51"/>
  <c r="E34" i="51"/>
  <c r="D34" i="51"/>
  <c r="B34" i="51"/>
  <c r="I33" i="51"/>
  <c r="H33" i="51"/>
  <c r="G33" i="51"/>
  <c r="F33" i="51"/>
  <c r="E33" i="51"/>
  <c r="D33" i="51"/>
  <c r="B33" i="51"/>
  <c r="B32" i="51"/>
  <c r="B29" i="51"/>
  <c r="I28" i="51"/>
  <c r="H28" i="51"/>
  <c r="G28" i="51"/>
  <c r="F28" i="51"/>
  <c r="E28" i="51"/>
  <c r="D28" i="51"/>
  <c r="B28" i="51"/>
  <c r="I27" i="51"/>
  <c r="H27" i="51"/>
  <c r="G27" i="51"/>
  <c r="F27" i="51"/>
  <c r="E27" i="51"/>
  <c r="D27" i="51"/>
  <c r="B27" i="51"/>
  <c r="D26" i="51"/>
  <c r="D29" i="51" s="1"/>
  <c r="D30" i="51" s="1"/>
  <c r="D32" i="51" s="1"/>
  <c r="B26" i="51"/>
  <c r="I25" i="51"/>
  <c r="H25" i="51"/>
  <c r="G25" i="51"/>
  <c r="F25" i="51"/>
  <c r="E25" i="51"/>
  <c r="D25" i="51"/>
  <c r="B25" i="51"/>
  <c r="I24" i="51"/>
  <c r="I26" i="51" s="1"/>
  <c r="I29" i="51" s="1"/>
  <c r="H24" i="51"/>
  <c r="H26" i="51" s="1"/>
  <c r="H29" i="51" s="1"/>
  <c r="G24" i="51"/>
  <c r="G26" i="51" s="1"/>
  <c r="G29" i="51" s="1"/>
  <c r="F24" i="51"/>
  <c r="F26" i="51" s="1"/>
  <c r="F29" i="51" s="1"/>
  <c r="E24" i="51"/>
  <c r="E26" i="51" s="1"/>
  <c r="E29" i="51" s="1"/>
  <c r="D24" i="51"/>
  <c r="B24" i="51"/>
  <c r="E15" i="51"/>
  <c r="I57" i="51" s="1"/>
  <c r="I58" i="51" s="1"/>
  <c r="I59" i="51" s="1"/>
  <c r="F14" i="51"/>
  <c r="F13" i="51"/>
  <c r="D12" i="51"/>
  <c r="I6" i="51" s="1"/>
  <c r="D101" i="51" s="1"/>
  <c r="I8" i="51"/>
  <c r="I7" i="51"/>
  <c r="D6" i="51"/>
  <c r="E14" i="51" s="1"/>
  <c r="E75" i="51" s="1"/>
  <c r="H70" i="50"/>
  <c r="G70" i="50"/>
  <c r="F70" i="50"/>
  <c r="E70" i="50"/>
  <c r="E93" i="50"/>
  <c r="I34" i="50"/>
  <c r="H34" i="50"/>
  <c r="G34" i="50"/>
  <c r="F34" i="50"/>
  <c r="E34" i="50"/>
  <c r="D34" i="50"/>
  <c r="B34" i="50"/>
  <c r="I33" i="50"/>
  <c r="H33" i="50"/>
  <c r="G33" i="50"/>
  <c r="F33" i="50"/>
  <c r="E33" i="50"/>
  <c r="D33" i="50"/>
  <c r="B33" i="50"/>
  <c r="B32" i="50"/>
  <c r="B29" i="50"/>
  <c r="I28" i="50"/>
  <c r="H28" i="50"/>
  <c r="G28" i="50"/>
  <c r="F28" i="50"/>
  <c r="E28" i="50"/>
  <c r="D28" i="50"/>
  <c r="B28" i="50"/>
  <c r="I27" i="50"/>
  <c r="H27" i="50"/>
  <c r="G27" i="50"/>
  <c r="F27" i="50"/>
  <c r="E27" i="50"/>
  <c r="D27" i="50"/>
  <c r="B27" i="50"/>
  <c r="B26" i="50"/>
  <c r="I25" i="50"/>
  <c r="H25" i="50"/>
  <c r="G25" i="50"/>
  <c r="F25" i="50"/>
  <c r="E25" i="50"/>
  <c r="D25" i="50"/>
  <c r="B25" i="50"/>
  <c r="I24" i="50"/>
  <c r="H24" i="50"/>
  <c r="G24" i="50"/>
  <c r="F24" i="50"/>
  <c r="E24" i="50"/>
  <c r="D24" i="50"/>
  <c r="B24" i="50"/>
  <c r="F14" i="50"/>
  <c r="F13" i="50"/>
  <c r="D12" i="50"/>
  <c r="I6" i="50" s="1"/>
  <c r="D101" i="50" s="1"/>
  <c r="I8" i="50"/>
  <c r="I7" i="50"/>
  <c r="D6" i="50"/>
  <c r="E13" i="50" s="1"/>
  <c r="I70" i="50" s="1"/>
  <c r="P8" i="43"/>
  <c r="O14" i="43"/>
  <c r="O13" i="43"/>
  <c r="O12" i="43"/>
  <c r="O11" i="43"/>
  <c r="O10" i="43"/>
  <c r="O9" i="43"/>
  <c r="O8" i="43"/>
  <c r="O7" i="43"/>
  <c r="O6" i="43"/>
  <c r="F27" i="53" l="1"/>
  <c r="F30" i="53" s="1"/>
  <c r="I27" i="53"/>
  <c r="I30" i="53" s="1"/>
  <c r="F58" i="53"/>
  <c r="F59" i="53" s="1"/>
  <c r="F60" i="53" s="1"/>
  <c r="E27" i="53"/>
  <c r="E30" i="53" s="1"/>
  <c r="F29" i="54"/>
  <c r="F30" i="54" s="1"/>
  <c r="F32" i="54" s="1"/>
  <c r="F36" i="54" s="1"/>
  <c r="G26" i="54"/>
  <c r="G29" i="54" s="1"/>
  <c r="E12" i="54"/>
  <c r="E26" i="54"/>
  <c r="E29" i="54" s="1"/>
  <c r="E30" i="54" s="1"/>
  <c r="E32" i="54" s="1"/>
  <c r="E36" i="54" s="1"/>
  <c r="H26" i="54"/>
  <c r="H29" i="54" s="1"/>
  <c r="H30" i="54" s="1"/>
  <c r="H32" i="54" s="1"/>
  <c r="H36" i="54" s="1"/>
  <c r="D26" i="54"/>
  <c r="D29" i="54" s="1"/>
  <c r="D30" i="54" s="1"/>
  <c r="D32" i="54" s="1"/>
  <c r="I26" i="54"/>
  <c r="I29" i="54" s="1"/>
  <c r="I30" i="54" s="1"/>
  <c r="I32" i="54" s="1"/>
  <c r="I36" i="54" s="1"/>
  <c r="F57" i="54"/>
  <c r="F58" i="54" s="1"/>
  <c r="F59" i="54" s="1"/>
  <c r="I6" i="54"/>
  <c r="D101" i="54" s="1"/>
  <c r="F101" i="54" s="1"/>
  <c r="E13" i="53"/>
  <c r="E17" i="53" s="1"/>
  <c r="D120" i="53" s="1"/>
  <c r="G30" i="54"/>
  <c r="G32" i="54" s="1"/>
  <c r="G36" i="54" s="1"/>
  <c r="G49" i="54"/>
  <c r="E76" i="54"/>
  <c r="I49" i="54"/>
  <c r="H49" i="54"/>
  <c r="D114" i="54"/>
  <c r="E57" i="54"/>
  <c r="E58" i="54" s="1"/>
  <c r="E59" i="54" s="1"/>
  <c r="E83" i="54"/>
  <c r="E13" i="54"/>
  <c r="E37" i="54" s="1"/>
  <c r="E39" i="54" s="1"/>
  <c r="E49" i="54"/>
  <c r="G57" i="54"/>
  <c r="G58" i="54" s="1"/>
  <c r="G59" i="54" s="1"/>
  <c r="F49" i="54"/>
  <c r="H57" i="54"/>
  <c r="H58" i="54" s="1"/>
  <c r="H59" i="54" s="1"/>
  <c r="E31" i="53"/>
  <c r="E33" i="53" s="1"/>
  <c r="E37" i="53" s="1"/>
  <c r="E102" i="53"/>
  <c r="F31" i="53"/>
  <c r="F33" i="53" s="1"/>
  <c r="F37" i="53" s="1"/>
  <c r="F102" i="53"/>
  <c r="G102" i="53"/>
  <c r="G31" i="53"/>
  <c r="G33" i="53" s="1"/>
  <c r="G37" i="53" s="1"/>
  <c r="G52" i="53"/>
  <c r="G53" i="53"/>
  <c r="I102" i="53"/>
  <c r="I31" i="53"/>
  <c r="I33" i="53" s="1"/>
  <c r="I37" i="53" s="1"/>
  <c r="F50" i="53"/>
  <c r="E76" i="53"/>
  <c r="H102" i="53"/>
  <c r="H31" i="53"/>
  <c r="H33" i="53" s="1"/>
  <c r="H37" i="53" s="1"/>
  <c r="H50" i="53"/>
  <c r="I50" i="53"/>
  <c r="D115" i="53"/>
  <c r="E58" i="53"/>
  <c r="E59" i="53" s="1"/>
  <c r="E60" i="53" s="1"/>
  <c r="E71" i="53"/>
  <c r="E84" i="53"/>
  <c r="E68" i="53"/>
  <c r="F71" i="53"/>
  <c r="E38" i="53"/>
  <c r="E40" i="53" s="1"/>
  <c r="E43" i="53" s="1"/>
  <c r="E50" i="53"/>
  <c r="G58" i="53"/>
  <c r="G59" i="53" s="1"/>
  <c r="G60" i="53" s="1"/>
  <c r="G71" i="53"/>
  <c r="H58" i="53"/>
  <c r="H59" i="53" s="1"/>
  <c r="H60" i="53" s="1"/>
  <c r="H71" i="53"/>
  <c r="E30" i="51"/>
  <c r="E101" i="51"/>
  <c r="F30" i="51"/>
  <c r="F32" i="51" s="1"/>
  <c r="F36" i="51" s="1"/>
  <c r="F101" i="51"/>
  <c r="G101" i="51"/>
  <c r="G30" i="51"/>
  <c r="G32" i="51" s="1"/>
  <c r="G36" i="51" s="1"/>
  <c r="H101" i="51"/>
  <c r="H30" i="51"/>
  <c r="H32" i="51" s="1"/>
  <c r="H36" i="51" s="1"/>
  <c r="G49" i="51"/>
  <c r="I101" i="51"/>
  <c r="I30" i="51"/>
  <c r="I32" i="51" s="1"/>
  <c r="I36" i="51" s="1"/>
  <c r="E57" i="51"/>
  <c r="E58" i="51" s="1"/>
  <c r="E59" i="51" s="1"/>
  <c r="E83" i="51"/>
  <c r="E12" i="51"/>
  <c r="F57" i="51"/>
  <c r="F58" i="51" s="1"/>
  <c r="F59" i="51" s="1"/>
  <c r="H49" i="51"/>
  <c r="D114" i="51"/>
  <c r="E13" i="51"/>
  <c r="E49" i="51"/>
  <c r="G57" i="51"/>
  <c r="G58" i="51" s="1"/>
  <c r="G59" i="51" s="1"/>
  <c r="I49" i="51"/>
  <c r="F49" i="51"/>
  <c r="H57" i="51"/>
  <c r="H58" i="51" s="1"/>
  <c r="H59" i="51" s="1"/>
  <c r="E26" i="50"/>
  <c r="E29" i="50" s="1"/>
  <c r="D26" i="50"/>
  <c r="D29" i="50" s="1"/>
  <c r="D30" i="50" s="1"/>
  <c r="D32" i="50" s="1"/>
  <c r="H26" i="50"/>
  <c r="H29" i="50" s="1"/>
  <c r="H30" i="50" s="1"/>
  <c r="H32" i="50" s="1"/>
  <c r="H36" i="50" s="1"/>
  <c r="F26" i="50"/>
  <c r="F29" i="50" s="1"/>
  <c r="F30" i="50" s="1"/>
  <c r="F32" i="50" s="1"/>
  <c r="F36" i="50" s="1"/>
  <c r="G26" i="50"/>
  <c r="G29" i="50" s="1"/>
  <c r="G101" i="50" s="1"/>
  <c r="I26" i="50"/>
  <c r="I29" i="50" s="1"/>
  <c r="I101" i="50" s="1"/>
  <c r="E15" i="50"/>
  <c r="I57" i="50" s="1"/>
  <c r="I58" i="50" s="1"/>
  <c r="I59" i="50" s="1"/>
  <c r="F101" i="50"/>
  <c r="E101" i="50"/>
  <c r="E30" i="50"/>
  <c r="E32" i="50" s="1"/>
  <c r="E36" i="50" s="1"/>
  <c r="E67" i="50"/>
  <c r="H101" i="50"/>
  <c r="E14" i="50"/>
  <c r="I49" i="50"/>
  <c r="E12" i="50"/>
  <c r="E32" i="51" l="1"/>
  <c r="E36" i="51" s="1"/>
  <c r="M12" i="51"/>
  <c r="M13" i="51" s="1"/>
  <c r="I101" i="54"/>
  <c r="G101" i="54"/>
  <c r="H101" i="54"/>
  <c r="E101" i="54"/>
  <c r="E16" i="54"/>
  <c r="D119" i="54" s="1"/>
  <c r="H13" i="54"/>
  <c r="F51" i="54"/>
  <c r="F52" i="54"/>
  <c r="H51" i="54"/>
  <c r="H52" i="54"/>
  <c r="E52" i="54"/>
  <c r="E51" i="54"/>
  <c r="I51" i="54"/>
  <c r="I52" i="54"/>
  <c r="E85" i="54"/>
  <c r="E86" i="54" s="1"/>
  <c r="F83" i="54" s="1"/>
  <c r="E84" i="54"/>
  <c r="E114" i="54" s="1"/>
  <c r="I70" i="54"/>
  <c r="H70" i="54"/>
  <c r="F70" i="54"/>
  <c r="E67" i="54"/>
  <c r="G70" i="54"/>
  <c r="E70" i="54"/>
  <c r="G51" i="54"/>
  <c r="G52" i="54"/>
  <c r="E53" i="53"/>
  <c r="E52" i="53"/>
  <c r="E77" i="53"/>
  <c r="I52" i="53"/>
  <c r="I53" i="53"/>
  <c r="F52" i="53"/>
  <c r="F53" i="53"/>
  <c r="I39" i="53"/>
  <c r="H39" i="53"/>
  <c r="G39" i="53"/>
  <c r="F39" i="53"/>
  <c r="E39" i="53"/>
  <c r="E42" i="53" s="1"/>
  <c r="E69" i="53"/>
  <c r="E86" i="53"/>
  <c r="E87" i="53"/>
  <c r="F84" i="53" s="1"/>
  <c r="E85" i="53"/>
  <c r="E115" i="53" s="1"/>
  <c r="H52" i="53"/>
  <c r="H53" i="53"/>
  <c r="E81" i="53"/>
  <c r="E52" i="51"/>
  <c r="E51" i="51"/>
  <c r="H51" i="51"/>
  <c r="H52" i="51"/>
  <c r="G52" i="51"/>
  <c r="G51" i="51"/>
  <c r="I70" i="51"/>
  <c r="H70" i="51"/>
  <c r="G70" i="51"/>
  <c r="E37" i="51"/>
  <c r="F70" i="51"/>
  <c r="E67" i="51"/>
  <c r="E68" i="51" s="1"/>
  <c r="E70" i="51"/>
  <c r="F52" i="51"/>
  <c r="F51" i="51"/>
  <c r="E16" i="51"/>
  <c r="D119" i="51" s="1"/>
  <c r="I51" i="51"/>
  <c r="I52" i="51"/>
  <c r="E85" i="51"/>
  <c r="E86" i="51" s="1"/>
  <c r="F83" i="51" s="1"/>
  <c r="E84" i="51"/>
  <c r="E114" i="51" s="1"/>
  <c r="F57" i="50"/>
  <c r="F58" i="50" s="1"/>
  <c r="F59" i="50" s="1"/>
  <c r="E57" i="50"/>
  <c r="E58" i="50" s="1"/>
  <c r="E59" i="50" s="1"/>
  <c r="E83" i="50"/>
  <c r="E84" i="50" s="1"/>
  <c r="E114" i="50" s="1"/>
  <c r="G30" i="50"/>
  <c r="G32" i="50" s="1"/>
  <c r="G36" i="50" s="1"/>
  <c r="I30" i="50"/>
  <c r="I32" i="50" s="1"/>
  <c r="I36" i="50" s="1"/>
  <c r="G57" i="50"/>
  <c r="G58" i="50" s="1"/>
  <c r="G59" i="50" s="1"/>
  <c r="H57" i="50"/>
  <c r="H58" i="50" s="1"/>
  <c r="H59" i="50" s="1"/>
  <c r="D114" i="50"/>
  <c r="I52" i="50"/>
  <c r="I51" i="50"/>
  <c r="E75" i="50"/>
  <c r="F49" i="50"/>
  <c r="E49" i="50"/>
  <c r="E16" i="50"/>
  <c r="D119" i="50" s="1"/>
  <c r="E68" i="50"/>
  <c r="H38" i="50"/>
  <c r="E38" i="50"/>
  <c r="F37" i="50" s="1"/>
  <c r="G38" i="50"/>
  <c r="F38" i="50"/>
  <c r="I38" i="50"/>
  <c r="H49" i="50"/>
  <c r="G49" i="50"/>
  <c r="E85" i="50"/>
  <c r="E39" i="50"/>
  <c r="E42" i="50" s="1"/>
  <c r="E68" i="54" l="1"/>
  <c r="I38" i="54"/>
  <c r="G38" i="54"/>
  <c r="H38" i="54"/>
  <c r="F38" i="54"/>
  <c r="E38" i="54"/>
  <c r="F37" i="54" s="1"/>
  <c r="E42" i="54"/>
  <c r="F85" i="54"/>
  <c r="F86" i="54" s="1"/>
  <c r="G83" i="54" s="1"/>
  <c r="F84" i="54"/>
  <c r="F114" i="54" s="1"/>
  <c r="F86" i="53"/>
  <c r="F87" i="53"/>
  <c r="G84" i="53" s="1"/>
  <c r="F85" i="53"/>
  <c r="F115" i="53" s="1"/>
  <c r="E44" i="53"/>
  <c r="E48" i="53" s="1"/>
  <c r="E54" i="53" s="1"/>
  <c r="E57" i="53" s="1"/>
  <c r="E61" i="53" s="1"/>
  <c r="E62" i="53" s="1"/>
  <c r="F38" i="53"/>
  <c r="E89" i="53"/>
  <c r="F85" i="51"/>
  <c r="F86" i="51" s="1"/>
  <c r="G83" i="51" s="1"/>
  <c r="F84" i="51"/>
  <c r="F114" i="51" s="1"/>
  <c r="I38" i="51"/>
  <c r="H38" i="51"/>
  <c r="G38" i="51"/>
  <c r="F38" i="51"/>
  <c r="E38" i="51"/>
  <c r="F37" i="51" s="1"/>
  <c r="E39" i="51"/>
  <c r="E42" i="51" s="1"/>
  <c r="E86" i="50"/>
  <c r="F83" i="50" s="1"/>
  <c r="E51" i="50"/>
  <c r="E52" i="50"/>
  <c r="F51" i="50"/>
  <c r="F52" i="50"/>
  <c r="F85" i="50"/>
  <c r="F86" i="50" s="1"/>
  <c r="G83" i="50" s="1"/>
  <c r="F84" i="50"/>
  <c r="F114" i="50" s="1"/>
  <c r="E76" i="50"/>
  <c r="E88" i="50" s="1"/>
  <c r="G37" i="50"/>
  <c r="F39" i="50"/>
  <c r="F42" i="50" s="1"/>
  <c r="E41" i="50"/>
  <c r="G51" i="50"/>
  <c r="G52" i="50"/>
  <c r="H51" i="50"/>
  <c r="H52" i="50"/>
  <c r="G37" i="54" l="1"/>
  <c r="F39" i="54"/>
  <c r="F42" i="54" s="1"/>
  <c r="E88" i="54"/>
  <c r="E80" i="54"/>
  <c r="G85" i="54"/>
  <c r="G86" i="54" s="1"/>
  <c r="H83" i="54" s="1"/>
  <c r="G84" i="54"/>
  <c r="G114" i="54" s="1"/>
  <c r="E41" i="54"/>
  <c r="F41" i="54"/>
  <c r="E90" i="53"/>
  <c r="E91" i="53" s="1"/>
  <c r="E70" i="53" s="1"/>
  <c r="G38" i="53"/>
  <c r="F40" i="53"/>
  <c r="E45" i="53"/>
  <c r="E55" i="53"/>
  <c r="G86" i="53"/>
  <c r="G87" i="53" s="1"/>
  <c r="H84" i="53" s="1"/>
  <c r="G85" i="53"/>
  <c r="G115" i="53" s="1"/>
  <c r="G37" i="51"/>
  <c r="F39" i="51"/>
  <c r="F42" i="51" s="1"/>
  <c r="G85" i="51"/>
  <c r="G86" i="51"/>
  <c r="H83" i="51" s="1"/>
  <c r="G84" i="51"/>
  <c r="G114" i="51" s="1"/>
  <c r="E88" i="51"/>
  <c r="E80" i="51"/>
  <c r="E41" i="51"/>
  <c r="E80" i="50"/>
  <c r="F41" i="50"/>
  <c r="F43" i="50" s="1"/>
  <c r="F47" i="50" s="1"/>
  <c r="F53" i="50" s="1"/>
  <c r="F56" i="50" s="1"/>
  <c r="F60" i="50" s="1"/>
  <c r="F61" i="50" s="1"/>
  <c r="E89" i="50"/>
  <c r="E90" i="50" s="1"/>
  <c r="G85" i="50"/>
  <c r="G86" i="50" s="1"/>
  <c r="H83" i="50" s="1"/>
  <c r="G84" i="50"/>
  <c r="G114" i="50" s="1"/>
  <c r="E43" i="50"/>
  <c r="E47" i="50" s="1"/>
  <c r="E53" i="50" s="1"/>
  <c r="E56" i="50" s="1"/>
  <c r="E60" i="50" s="1"/>
  <c r="E61" i="50" s="1"/>
  <c r="H37" i="50"/>
  <c r="G39" i="50"/>
  <c r="F41" i="51" l="1"/>
  <c r="F43" i="51" s="1"/>
  <c r="F47" i="51" s="1"/>
  <c r="F53" i="51" s="1"/>
  <c r="H84" i="54"/>
  <c r="H114" i="54" s="1"/>
  <c r="H85" i="54"/>
  <c r="H86" i="54" s="1"/>
  <c r="I83" i="54" s="1"/>
  <c r="E89" i="54"/>
  <c r="E90" i="54" s="1"/>
  <c r="E69" i="54" s="1"/>
  <c r="F43" i="54"/>
  <c r="F47" i="54" s="1"/>
  <c r="F53" i="54" s="1"/>
  <c r="E43" i="54"/>
  <c r="E47" i="54" s="1"/>
  <c r="E53" i="54" s="1"/>
  <c r="H37" i="54"/>
  <c r="G39" i="54"/>
  <c r="H85" i="53"/>
  <c r="H115" i="53" s="1"/>
  <c r="H86" i="53"/>
  <c r="H87" i="53" s="1"/>
  <c r="I84" i="53" s="1"/>
  <c r="E78" i="53"/>
  <c r="E79" i="53" s="1"/>
  <c r="F76" i="53" s="1"/>
  <c r="E72" i="53"/>
  <c r="E73" i="53" s="1"/>
  <c r="H38" i="53"/>
  <c r="G40" i="53"/>
  <c r="E95" i="53"/>
  <c r="E96" i="53" s="1"/>
  <c r="F43" i="53"/>
  <c r="F42" i="53"/>
  <c r="H84" i="51"/>
  <c r="H114" i="51" s="1"/>
  <c r="H85" i="51"/>
  <c r="H86" i="51" s="1"/>
  <c r="I83" i="51" s="1"/>
  <c r="E89" i="51"/>
  <c r="E90" i="51" s="1"/>
  <c r="E43" i="51"/>
  <c r="E47" i="51" s="1"/>
  <c r="E53" i="51" s="1"/>
  <c r="H37" i="51"/>
  <c r="G39" i="51"/>
  <c r="E69" i="50"/>
  <c r="E71" i="50" s="1"/>
  <c r="E72" i="50" s="1"/>
  <c r="I37" i="50"/>
  <c r="I39" i="50" s="1"/>
  <c r="H39" i="50"/>
  <c r="H84" i="50"/>
  <c r="H114" i="50" s="1"/>
  <c r="H85" i="50"/>
  <c r="H86" i="50" s="1"/>
  <c r="I83" i="50" s="1"/>
  <c r="E54" i="50"/>
  <c r="F44" i="50"/>
  <c r="E44" i="50"/>
  <c r="G42" i="50"/>
  <c r="G41" i="50"/>
  <c r="F54" i="50"/>
  <c r="E69" i="51" l="1"/>
  <c r="E71" i="51" s="1"/>
  <c r="E72" i="51" s="1"/>
  <c r="I84" i="54"/>
  <c r="I85" i="54"/>
  <c r="I86" i="54" s="1"/>
  <c r="E77" i="54"/>
  <c r="E78" i="54" s="1"/>
  <c r="F75" i="54" s="1"/>
  <c r="E71" i="54"/>
  <c r="E72" i="54" s="1"/>
  <c r="F56" i="54"/>
  <c r="F60" i="54" s="1"/>
  <c r="F61" i="54" s="1"/>
  <c r="F54" i="54"/>
  <c r="E94" i="54"/>
  <c r="E95" i="54" s="1"/>
  <c r="I37" i="54"/>
  <c r="I39" i="54" s="1"/>
  <c r="H39" i="54"/>
  <c r="G42" i="54"/>
  <c r="G41" i="54"/>
  <c r="F44" i="54"/>
  <c r="E56" i="54"/>
  <c r="E54" i="54"/>
  <c r="E44" i="54"/>
  <c r="I85" i="53"/>
  <c r="I86" i="53"/>
  <c r="I87" i="53" s="1"/>
  <c r="I38" i="53"/>
  <c r="I40" i="53" s="1"/>
  <c r="H40" i="53"/>
  <c r="E92" i="53"/>
  <c r="E104" i="53" s="1"/>
  <c r="F68" i="53"/>
  <c r="E105" i="53"/>
  <c r="F94" i="53"/>
  <c r="F44" i="53"/>
  <c r="F48" i="53" s="1"/>
  <c r="F54" i="53" s="1"/>
  <c r="G43" i="53"/>
  <c r="G42" i="53"/>
  <c r="F77" i="53"/>
  <c r="I85" i="51"/>
  <c r="I86" i="51" s="1"/>
  <c r="I84" i="51"/>
  <c r="F44" i="51"/>
  <c r="F56" i="51"/>
  <c r="F60" i="51" s="1"/>
  <c r="F61" i="51" s="1"/>
  <c r="F54" i="51"/>
  <c r="E56" i="51"/>
  <c r="E60" i="51" s="1"/>
  <c r="E61" i="51" s="1"/>
  <c r="E54" i="51"/>
  <c r="E44" i="51"/>
  <c r="G42" i="51"/>
  <c r="G41" i="51"/>
  <c r="H39" i="51"/>
  <c r="I37" i="51"/>
  <c r="I39" i="51" s="1"/>
  <c r="E77" i="50"/>
  <c r="E78" i="50" s="1"/>
  <c r="F75" i="50" s="1"/>
  <c r="F76" i="50" s="1"/>
  <c r="E94" i="50"/>
  <c r="E95" i="50" s="1"/>
  <c r="F93" i="50" s="1"/>
  <c r="I84" i="50"/>
  <c r="I85" i="50"/>
  <c r="I86" i="50" s="1"/>
  <c r="F67" i="50"/>
  <c r="H42" i="50"/>
  <c r="H41" i="50"/>
  <c r="G43" i="50"/>
  <c r="G47" i="50" s="1"/>
  <c r="G53" i="50" s="1"/>
  <c r="I42" i="50"/>
  <c r="I41" i="50"/>
  <c r="E94" i="51" l="1"/>
  <c r="E95" i="51" s="1"/>
  <c r="E104" i="51" s="1"/>
  <c r="E77" i="51"/>
  <c r="E78" i="51" s="1"/>
  <c r="F75" i="51" s="1"/>
  <c r="F76" i="51" s="1"/>
  <c r="E60" i="54"/>
  <c r="E61" i="54" s="1"/>
  <c r="E91" i="54"/>
  <c r="E103" i="54" s="1"/>
  <c r="F67" i="54"/>
  <c r="F76" i="54"/>
  <c r="F93" i="54"/>
  <c r="E104" i="54"/>
  <c r="G43" i="54"/>
  <c r="G47" i="54" s="1"/>
  <c r="G53" i="54" s="1"/>
  <c r="H42" i="54"/>
  <c r="H41" i="54"/>
  <c r="I42" i="54"/>
  <c r="I41" i="54"/>
  <c r="H43" i="53"/>
  <c r="H42" i="53"/>
  <c r="I43" i="53"/>
  <c r="I42" i="53"/>
  <c r="F57" i="53"/>
  <c r="F61" i="53" s="1"/>
  <c r="F62" i="53" s="1"/>
  <c r="F55" i="53"/>
  <c r="E106" i="53"/>
  <c r="F45" i="53"/>
  <c r="F69" i="53"/>
  <c r="G44" i="53"/>
  <c r="G48" i="53" s="1"/>
  <c r="G54" i="53" s="1"/>
  <c r="E104" i="50"/>
  <c r="E91" i="50"/>
  <c r="E103" i="50" s="1"/>
  <c r="G43" i="51"/>
  <c r="G47" i="51" s="1"/>
  <c r="G53" i="51" s="1"/>
  <c r="H42" i="51"/>
  <c r="H41" i="51"/>
  <c r="F67" i="51"/>
  <c r="I42" i="51"/>
  <c r="I41" i="51"/>
  <c r="G44" i="50"/>
  <c r="I43" i="50"/>
  <c r="I47" i="50" s="1"/>
  <c r="I53" i="50" s="1"/>
  <c r="F68" i="50"/>
  <c r="G56" i="50"/>
  <c r="G60" i="50" s="1"/>
  <c r="G61" i="50" s="1"/>
  <c r="G54" i="50"/>
  <c r="H43" i="50"/>
  <c r="H47" i="50" s="1"/>
  <c r="H53" i="50" s="1"/>
  <c r="F93" i="51" l="1"/>
  <c r="E91" i="51"/>
  <c r="E103" i="51" s="1"/>
  <c r="E105" i="51" s="1"/>
  <c r="E105" i="50"/>
  <c r="E107" i="50" s="1"/>
  <c r="G44" i="54"/>
  <c r="H43" i="54"/>
  <c r="H47" i="54" s="1"/>
  <c r="H53" i="54" s="1"/>
  <c r="F68" i="54"/>
  <c r="G56" i="54"/>
  <c r="G60" i="54" s="1"/>
  <c r="G61" i="54" s="1"/>
  <c r="G54" i="54"/>
  <c r="I43" i="54"/>
  <c r="E105" i="54"/>
  <c r="E108" i="53"/>
  <c r="E109" i="53"/>
  <c r="G57" i="53"/>
  <c r="G61" i="53" s="1"/>
  <c r="G62" i="53" s="1"/>
  <c r="G55" i="53"/>
  <c r="G45" i="53"/>
  <c r="I44" i="53"/>
  <c r="I48" i="53" s="1"/>
  <c r="I54" i="53" s="1"/>
  <c r="H44" i="53"/>
  <c r="H48" i="53" s="1"/>
  <c r="H54" i="53" s="1"/>
  <c r="F89" i="53"/>
  <c r="F81" i="53"/>
  <c r="H43" i="51"/>
  <c r="H47" i="51" s="1"/>
  <c r="H53" i="51" s="1"/>
  <c r="I43" i="51"/>
  <c r="I47" i="51" s="1"/>
  <c r="I53" i="51" s="1"/>
  <c r="G56" i="51"/>
  <c r="G60" i="51" s="1"/>
  <c r="G61" i="51" s="1"/>
  <c r="G54" i="51"/>
  <c r="F68" i="51"/>
  <c r="G44" i="51"/>
  <c r="F88" i="50"/>
  <c r="F80" i="50"/>
  <c r="H56" i="50"/>
  <c r="H60" i="50" s="1"/>
  <c r="H61" i="50" s="1"/>
  <c r="H54" i="50"/>
  <c r="I56" i="50"/>
  <c r="I60" i="50" s="1"/>
  <c r="I61" i="50" s="1"/>
  <c r="I54" i="50"/>
  <c r="I44" i="50"/>
  <c r="H44" i="50"/>
  <c r="E108" i="50" l="1"/>
  <c r="I47" i="54"/>
  <c r="I53" i="54" s="1"/>
  <c r="I56" i="54" s="1"/>
  <c r="I60" i="54" s="1"/>
  <c r="I61" i="54" s="1"/>
  <c r="I44" i="54"/>
  <c r="F88" i="54"/>
  <c r="F80" i="54"/>
  <c r="E107" i="54"/>
  <c r="E108" i="54"/>
  <c r="H56" i="54"/>
  <c r="H60" i="54" s="1"/>
  <c r="H61" i="54" s="1"/>
  <c r="H54" i="54"/>
  <c r="H44" i="54"/>
  <c r="H45" i="53"/>
  <c r="I57" i="53"/>
  <c r="I61" i="53" s="1"/>
  <c r="I62" i="53" s="1"/>
  <c r="I55" i="53"/>
  <c r="F90" i="53"/>
  <c r="F91" i="53" s="1"/>
  <c r="F70" i="53" s="1"/>
  <c r="I45" i="53"/>
  <c r="H57" i="53"/>
  <c r="H61" i="53" s="1"/>
  <c r="H62" i="53" s="1"/>
  <c r="H55" i="53"/>
  <c r="H56" i="51"/>
  <c r="H60" i="51" s="1"/>
  <c r="H61" i="51" s="1"/>
  <c r="H54" i="51"/>
  <c r="I56" i="51"/>
  <c r="I60" i="51" s="1"/>
  <c r="I61" i="51" s="1"/>
  <c r="I54" i="51"/>
  <c r="I44" i="51"/>
  <c r="E107" i="51"/>
  <c r="E108" i="51"/>
  <c r="F88" i="51"/>
  <c r="F80" i="51"/>
  <c r="H44" i="51"/>
  <c r="F89" i="50"/>
  <c r="I54" i="54" l="1"/>
  <c r="F89" i="54"/>
  <c r="F90" i="54" s="1"/>
  <c r="F69" i="54" s="1"/>
  <c r="F94" i="54" s="1"/>
  <c r="F95" i="54" s="1"/>
  <c r="F78" i="53"/>
  <c r="F79" i="53" s="1"/>
  <c r="G76" i="53" s="1"/>
  <c r="F72" i="53"/>
  <c r="F73" i="53"/>
  <c r="F95" i="53"/>
  <c r="F96" i="53" s="1"/>
  <c r="F89" i="51"/>
  <c r="F90" i="51" s="1"/>
  <c r="F69" i="51" s="1"/>
  <c r="F71" i="51" s="1"/>
  <c r="F90" i="50"/>
  <c r="F104" i="54" l="1"/>
  <c r="G93" i="54"/>
  <c r="F77" i="54"/>
  <c r="F78" i="54" s="1"/>
  <c r="G75" i="54" s="1"/>
  <c r="F71" i="54"/>
  <c r="F72" i="54"/>
  <c r="F105" i="53"/>
  <c r="G94" i="53"/>
  <c r="F92" i="53"/>
  <c r="F104" i="53" s="1"/>
  <c r="G68" i="53"/>
  <c r="G77" i="53"/>
  <c r="F77" i="51"/>
  <c r="F78" i="51" s="1"/>
  <c r="G75" i="51" s="1"/>
  <c r="F72" i="51"/>
  <c r="F94" i="51"/>
  <c r="F95" i="51" s="1"/>
  <c r="F69" i="50"/>
  <c r="F72" i="50" s="1"/>
  <c r="F106" i="53" l="1"/>
  <c r="F109" i="53" s="1"/>
  <c r="F91" i="54"/>
  <c r="F103" i="54" s="1"/>
  <c r="F105" i="54" s="1"/>
  <c r="G67" i="54"/>
  <c r="G76" i="54"/>
  <c r="G69" i="53"/>
  <c r="F104" i="51"/>
  <c r="G93" i="51"/>
  <c r="F91" i="51"/>
  <c r="F103" i="51" s="1"/>
  <c r="G67" i="51"/>
  <c r="G76" i="51"/>
  <c r="F94" i="50"/>
  <c r="F95" i="50" s="1"/>
  <c r="G93" i="50" s="1"/>
  <c r="F71" i="50"/>
  <c r="F77" i="50"/>
  <c r="F78" i="50" s="1"/>
  <c r="G75" i="50" s="1"/>
  <c r="G76" i="50" s="1"/>
  <c r="G67" i="50"/>
  <c r="F108" i="53" l="1"/>
  <c r="F104" i="50"/>
  <c r="F105" i="51"/>
  <c r="F108" i="51" s="1"/>
  <c r="G68" i="54"/>
  <c r="F108" i="54"/>
  <c r="F107" i="54"/>
  <c r="G89" i="53"/>
  <c r="G81" i="53"/>
  <c r="G68" i="50"/>
  <c r="G88" i="50" s="1"/>
  <c r="G68" i="51"/>
  <c r="F91" i="50"/>
  <c r="F103" i="50" s="1"/>
  <c r="F105" i="50" l="1"/>
  <c r="F108" i="50" s="1"/>
  <c r="G80" i="50"/>
  <c r="F107" i="51"/>
  <c r="G88" i="54"/>
  <c r="G80" i="54"/>
  <c r="G90" i="53"/>
  <c r="G91" i="53" s="1"/>
  <c r="G70" i="53" s="1"/>
  <c r="G88" i="51"/>
  <c r="G80" i="51"/>
  <c r="G89" i="50"/>
  <c r="F107" i="50" l="1"/>
  <c r="G89" i="54"/>
  <c r="G90" i="54" s="1"/>
  <c r="G69" i="54" s="1"/>
  <c r="G71" i="54" s="1"/>
  <c r="G78" i="53"/>
  <c r="G79" i="53" s="1"/>
  <c r="H76" i="53" s="1"/>
  <c r="G72" i="53"/>
  <c r="G73" i="53"/>
  <c r="G95" i="53"/>
  <c r="G96" i="53" s="1"/>
  <c r="G89" i="51"/>
  <c r="G90" i="51" s="1"/>
  <c r="G69" i="51" s="1"/>
  <c r="G90" i="50"/>
  <c r="G77" i="54" l="1"/>
  <c r="G78" i="54" s="1"/>
  <c r="H75" i="54" s="1"/>
  <c r="G72" i="54"/>
  <c r="G94" i="54"/>
  <c r="G95" i="54" s="1"/>
  <c r="H68" i="53"/>
  <c r="G92" i="53"/>
  <c r="G104" i="53" s="1"/>
  <c r="G105" i="53"/>
  <c r="H94" i="53"/>
  <c r="H77" i="53"/>
  <c r="G71" i="51"/>
  <c r="G77" i="51"/>
  <c r="G78" i="51" s="1"/>
  <c r="H75" i="51" s="1"/>
  <c r="G72" i="51"/>
  <c r="G94" i="51"/>
  <c r="G95" i="51" s="1"/>
  <c r="G69" i="50"/>
  <c r="G72" i="50" s="1"/>
  <c r="G104" i="54" l="1"/>
  <c r="H93" i="54"/>
  <c r="H67" i="54"/>
  <c r="G91" i="54"/>
  <c r="G103" i="54" s="1"/>
  <c r="H76" i="54"/>
  <c r="G106" i="53"/>
  <c r="G109" i="53" s="1"/>
  <c r="H69" i="53"/>
  <c r="H76" i="51"/>
  <c r="G104" i="51"/>
  <c r="H93" i="51"/>
  <c r="H67" i="51"/>
  <c r="G91" i="51"/>
  <c r="G103" i="51" s="1"/>
  <c r="G94" i="50"/>
  <c r="G95" i="50" s="1"/>
  <c r="H93" i="50" s="1"/>
  <c r="G71" i="50"/>
  <c r="H67" i="50"/>
  <c r="G77" i="50"/>
  <c r="G78" i="50" s="1"/>
  <c r="H75" i="50" s="1"/>
  <c r="H76" i="50" s="1"/>
  <c r="G104" i="50" l="1"/>
  <c r="G105" i="51"/>
  <c r="G108" i="51" s="1"/>
  <c r="G108" i="53"/>
  <c r="G105" i="54"/>
  <c r="G108" i="54" s="1"/>
  <c r="H68" i="54"/>
  <c r="H89" i="53"/>
  <c r="H81" i="53"/>
  <c r="H68" i="50"/>
  <c r="H88" i="50" s="1"/>
  <c r="H68" i="51"/>
  <c r="G91" i="50"/>
  <c r="G103" i="50" s="1"/>
  <c r="G105" i="50" l="1"/>
  <c r="G108" i="50" s="1"/>
  <c r="G107" i="51"/>
  <c r="H80" i="50"/>
  <c r="G107" i="54"/>
  <c r="H88" i="54"/>
  <c r="H80" i="54"/>
  <c r="H90" i="53"/>
  <c r="H91" i="53" s="1"/>
  <c r="H70" i="53" s="1"/>
  <c r="H88" i="51"/>
  <c r="H80" i="51"/>
  <c r="H89" i="50"/>
  <c r="G107" i="50" l="1"/>
  <c r="H89" i="54"/>
  <c r="H90" i="54" s="1"/>
  <c r="H69" i="54" s="1"/>
  <c r="H71" i="54" s="1"/>
  <c r="H78" i="53"/>
  <c r="H79" i="53" s="1"/>
  <c r="I76" i="53" s="1"/>
  <c r="H72" i="53"/>
  <c r="H73" i="53"/>
  <c r="H95" i="53"/>
  <c r="H96" i="53" s="1"/>
  <c r="H89" i="51"/>
  <c r="H90" i="51" s="1"/>
  <c r="H69" i="51" s="1"/>
  <c r="H90" i="50"/>
  <c r="H77" i="54" l="1"/>
  <c r="H78" i="54" s="1"/>
  <c r="I75" i="54" s="1"/>
  <c r="H72" i="54"/>
  <c r="H94" i="54"/>
  <c r="H95" i="54" s="1"/>
  <c r="H92" i="53"/>
  <c r="H104" i="53" s="1"/>
  <c r="I68" i="53"/>
  <c r="I94" i="53"/>
  <c r="H105" i="53"/>
  <c r="I77" i="53"/>
  <c r="H77" i="51"/>
  <c r="H78" i="51" s="1"/>
  <c r="I75" i="51" s="1"/>
  <c r="H71" i="51"/>
  <c r="H72" i="51"/>
  <c r="H94" i="51"/>
  <c r="H95" i="51" s="1"/>
  <c r="H69" i="50"/>
  <c r="H72" i="50" s="1"/>
  <c r="I67" i="54" l="1"/>
  <c r="H91" i="54"/>
  <c r="H103" i="54" s="1"/>
  <c r="I93" i="54"/>
  <c r="H104" i="54"/>
  <c r="I76" i="54"/>
  <c r="I69" i="53"/>
  <c r="H106" i="53"/>
  <c r="I93" i="51"/>
  <c r="H104" i="51"/>
  <c r="H91" i="51"/>
  <c r="H103" i="51" s="1"/>
  <c r="I67" i="51"/>
  <c r="I76" i="51"/>
  <c r="H77" i="50"/>
  <c r="H78" i="50" s="1"/>
  <c r="I75" i="50" s="1"/>
  <c r="I76" i="50" s="1"/>
  <c r="H71" i="50"/>
  <c r="H94" i="50"/>
  <c r="H95" i="50" s="1"/>
  <c r="I93" i="50" s="1"/>
  <c r="H91" i="50" l="1"/>
  <c r="H103" i="50" s="1"/>
  <c r="H105" i="51"/>
  <c r="H107" i="51" s="1"/>
  <c r="H105" i="54"/>
  <c r="I68" i="54"/>
  <c r="H109" i="53"/>
  <c r="H108" i="53"/>
  <c r="I89" i="53"/>
  <c r="I81" i="53"/>
  <c r="I68" i="51"/>
  <c r="I67" i="50"/>
  <c r="H104" i="50"/>
  <c r="H105" i="50" l="1"/>
  <c r="H108" i="50" s="1"/>
  <c r="H108" i="51"/>
  <c r="H108" i="54"/>
  <c r="H107" i="54"/>
  <c r="I88" i="54"/>
  <c r="I80" i="54"/>
  <c r="I90" i="53"/>
  <c r="I91" i="53" s="1"/>
  <c r="I70" i="53" s="1"/>
  <c r="I68" i="50"/>
  <c r="I88" i="50" s="1"/>
  <c r="I89" i="50" s="1"/>
  <c r="I88" i="51"/>
  <c r="I80" i="51"/>
  <c r="H107" i="50" l="1"/>
  <c r="I80" i="50"/>
  <c r="I89" i="54"/>
  <c r="I90" i="54" s="1"/>
  <c r="I69" i="54" s="1"/>
  <c r="I71" i="54" s="1"/>
  <c r="I72" i="53"/>
  <c r="I78" i="53"/>
  <c r="I79" i="53" s="1"/>
  <c r="I73" i="53"/>
  <c r="I95" i="53"/>
  <c r="I96" i="53" s="1"/>
  <c r="I105" i="53" s="1"/>
  <c r="I89" i="51"/>
  <c r="I90" i="51" s="1"/>
  <c r="I69" i="51" s="1"/>
  <c r="I90" i="50"/>
  <c r="I77" i="54" l="1"/>
  <c r="I78" i="54" s="1"/>
  <c r="I72" i="54"/>
  <c r="I94" i="54"/>
  <c r="I95" i="54" s="1"/>
  <c r="I104" i="54" s="1"/>
  <c r="I92" i="53"/>
  <c r="I104" i="53" s="1"/>
  <c r="I106" i="53" s="1"/>
  <c r="I71" i="51"/>
  <c r="I77" i="51"/>
  <c r="I78" i="51" s="1"/>
  <c r="I72" i="51"/>
  <c r="I94" i="51"/>
  <c r="I95" i="51" s="1"/>
  <c r="I104" i="51" s="1"/>
  <c r="I69" i="50"/>
  <c r="I72" i="50" s="1"/>
  <c r="I91" i="54" l="1"/>
  <c r="I103" i="54" s="1"/>
  <c r="I105" i="54" s="1"/>
  <c r="I108" i="53"/>
  <c r="I114" i="53"/>
  <c r="I115" i="53" s="1"/>
  <c r="I109" i="53"/>
  <c r="I91" i="51"/>
  <c r="I103" i="51" s="1"/>
  <c r="I105" i="51" s="1"/>
  <c r="I71" i="50"/>
  <c r="I77" i="50"/>
  <c r="I78" i="50" s="1"/>
  <c r="I91" i="50" s="1"/>
  <c r="I103" i="50" s="1"/>
  <c r="I94" i="50"/>
  <c r="I95" i="50" s="1"/>
  <c r="I104" i="50" s="1"/>
  <c r="I107" i="54" l="1"/>
  <c r="I108" i="54"/>
  <c r="I113" i="54"/>
  <c r="I114" i="54" s="1"/>
  <c r="D115" i="54" s="1"/>
  <c r="C129" i="54" s="1"/>
  <c r="D117" i="53"/>
  <c r="D116" i="53"/>
  <c r="C130" i="53" s="1"/>
  <c r="I120" i="53"/>
  <c r="I105" i="50"/>
  <c r="I113" i="50" s="1"/>
  <c r="I114" i="50" s="1"/>
  <c r="D116" i="50" s="1"/>
  <c r="I113" i="51"/>
  <c r="I114" i="51" s="1"/>
  <c r="I108" i="51"/>
  <c r="I107" i="51"/>
  <c r="I107" i="50" l="1"/>
  <c r="I108" i="50"/>
  <c r="I119" i="51"/>
  <c r="D121" i="51" s="1"/>
  <c r="D116" i="54"/>
  <c r="I119" i="54"/>
  <c r="D122" i="53"/>
  <c r="D121" i="53"/>
  <c r="C141" i="53" s="1"/>
  <c r="D115" i="51"/>
  <c r="C129" i="51" s="1"/>
  <c r="D116" i="51"/>
  <c r="I119" i="50"/>
  <c r="D120" i="50" s="1"/>
  <c r="C140" i="50" s="1"/>
  <c r="D115" i="50"/>
  <c r="C129" i="50" s="1"/>
  <c r="D120" i="51" l="1"/>
  <c r="C140" i="51" s="1"/>
  <c r="D120" i="54"/>
  <c r="C140" i="54" s="1"/>
  <c r="D121" i="54"/>
  <c r="D121" i="50"/>
  <c r="N16" i="43" l="1"/>
  <c r="N14" i="43"/>
  <c r="N12" i="43"/>
  <c r="N11" i="43"/>
  <c r="N9" i="43"/>
  <c r="N8" i="43"/>
  <c r="N7" i="43"/>
  <c r="N6" i="43"/>
</calcChain>
</file>

<file path=xl/sharedStrings.xml><?xml version="1.0" encoding="utf-8"?>
<sst xmlns="http://schemas.openxmlformats.org/spreadsheetml/2006/main" count="509" uniqueCount="149">
  <si>
    <t>EBITDA</t>
  </si>
  <si>
    <t>EBIT</t>
  </si>
  <si>
    <t>Gross profit</t>
  </si>
  <si>
    <t>Term A</t>
  </si>
  <si>
    <t>Term B</t>
  </si>
  <si>
    <t>FCF</t>
  </si>
  <si>
    <t xml:space="preserve">     Interest paid</t>
  </si>
  <si>
    <t xml:space="preserve">     Principal repaid</t>
  </si>
  <si>
    <t xml:space="preserve">     EOY balance</t>
  </si>
  <si>
    <t>Cash</t>
  </si>
  <si>
    <t>Exit Multiple</t>
  </si>
  <si>
    <t>Pottery Barn</t>
  </si>
  <si>
    <t>West Elm</t>
  </si>
  <si>
    <t>Williams Sonoma</t>
  </si>
  <si>
    <t>Pottery Barn Kids and Teen</t>
  </si>
  <si>
    <t>Other</t>
  </si>
  <si>
    <t>Data source: Capital IQ and analyst estimates.</t>
  </si>
  <si>
    <t>Note: Data is for 12 months ending January 31 of each year.</t>
  </si>
  <si>
    <t>¹ Tax rate is 23%.</t>
  </si>
  <si>
    <t>Change in net working capital (NWC)</t>
  </si>
  <si>
    <t>CAPEX</t>
  </si>
  <si>
    <t>Depreciation and amortization</t>
  </si>
  <si>
    <t>NOPAT</t>
  </si>
  <si>
    <r>
      <t xml:space="preserve">  Tax</t>
    </r>
    <r>
      <rPr>
        <vertAlign val="superscript"/>
        <sz val="11"/>
        <rFont val="Garamond"/>
        <family val="1"/>
      </rPr>
      <t>1</t>
    </r>
  </si>
  <si>
    <t xml:space="preserve">   Depreciation and amortization</t>
  </si>
  <si>
    <t>Operating income (EBIT)</t>
  </si>
  <si>
    <t xml:space="preserve">   Selling, general, and administrative expenses</t>
  </si>
  <si>
    <t xml:space="preserve">   Cost of goods sold</t>
  </si>
  <si>
    <t>Total revenue</t>
  </si>
  <si>
    <t>Fiscal period ending January (in millions of US dollars)</t>
  </si>
  <si>
    <t>Williams-Sonoma: Financial Forecast</t>
  </si>
  <si>
    <t>Exhibit 10</t>
  </si>
  <si>
    <t>Tax rate</t>
  </si>
  <si>
    <t xml:space="preserve">     PIK</t>
  </si>
  <si>
    <t>Cash Interest</t>
  </si>
  <si>
    <t>Exhibit 11</t>
  </si>
  <si>
    <t>Williams-Sonoma, Inc., LBO: Let’s Get Cooking</t>
  </si>
  <si>
    <t>Comparable Companies Analysis</t>
  </si>
  <si>
    <t>Company Name</t>
  </si>
  <si>
    <t>Sales</t>
  </si>
  <si>
    <t>Year-over-Year (YoY) 
Sales Growth</t>
  </si>
  <si>
    <t>YoY EBITDA Growth</t>
  </si>
  <si>
    <t>YoY EBIT Growth</t>
  </si>
  <si>
    <t>Number of Shares</t>
  </si>
  <si>
    <t>Price per Share</t>
  </si>
  <si>
    <t>Debt</t>
  </si>
  <si>
    <t>Beta</t>
  </si>
  <si>
    <t>RH (NYSE:RH)</t>
  </si>
  <si>
    <t>Sleep Number Corporation (NasdaqGS:SNBR)</t>
  </si>
  <si>
    <t>Lowe’s Companies, Inc. (NYSE:LOW)</t>
  </si>
  <si>
    <t>The Home Depot, Inc. (NYSE:HD)</t>
  </si>
  <si>
    <t>Bed Bath &amp; Beyond Inc. (OTCPK:BBBY.Q)</t>
  </si>
  <si>
    <t>Tractor Supply Company (NasdaqGS:TSCO)</t>
  </si>
  <si>
    <t>Overstock.com, Inc. (NasdaqGM:OSTK)</t>
  </si>
  <si>
    <t>Wayfair Inc. (NYSE:W)</t>
  </si>
  <si>
    <t>Arhaus, Inc. (NasdaqGS:ARHS)</t>
  </si>
  <si>
    <t>NA</t>
  </si>
  <si>
    <t>Williams-Sonoma, Inc. (NYSE:WSM)</t>
  </si>
  <si>
    <t>Financial data as of December 31, 2022; market data as of June 1, 2023.</t>
  </si>
  <si>
    <t>Beta is calculated using five-year historical data.</t>
  </si>
  <si>
    <t>All financials have been adjusted to represent 12-month calendar year financials based on respective fiscal year ends.</t>
  </si>
  <si>
    <t>Data source: Capital IQ.</t>
  </si>
  <si>
    <t>SOFR</t>
  </si>
  <si>
    <t>2024 EBITDA</t>
  </si>
  <si>
    <t>Amount</t>
  </si>
  <si>
    <t>Assumptions</t>
  </si>
  <si>
    <t>Financing Package</t>
  </si>
  <si>
    <t>IRR of Equity Investment</t>
  </si>
  <si>
    <t>EBITDA
relative to forecast</t>
  </si>
  <si>
    <t>IRR</t>
  </si>
  <si>
    <t>PIK = paid in kind.</t>
  </si>
  <si>
    <t>Debt-Repayment Schedule</t>
  </si>
  <si>
    <t>SOFR = Secured Overnight Financing Rate.</t>
  </si>
  <si>
    <t>Number of shares outstanding (in millions)</t>
  </si>
  <si>
    <t>Current enterprise value</t>
  </si>
  <si>
    <t>Mezzanine</t>
  </si>
  <si>
    <t xml:space="preserve">Exit multiple </t>
  </si>
  <si>
    <t>Purchase multiple</t>
  </si>
  <si>
    <t>EBIT = earnings before interest and taxes.</t>
  </si>
  <si>
    <t>CAPEX = capital expenditure.</t>
  </si>
  <si>
    <t>Debt-repayment schedule</t>
  </si>
  <si>
    <t xml:space="preserve">     Beginning-of-year (BOY) balance</t>
  </si>
  <si>
    <t xml:space="preserve">     End-of-year (EOY) balance</t>
  </si>
  <si>
    <t xml:space="preserve">     BOY balance</t>
  </si>
  <si>
    <t>Total cash interest paid</t>
  </si>
  <si>
    <t>Interest tax shield</t>
  </si>
  <si>
    <t>Cash flows available for debt repayment</t>
  </si>
  <si>
    <t>Total debt outstanding</t>
  </si>
  <si>
    <t>NOPAT = net operating profit after tax.</t>
  </si>
  <si>
    <t>Enterprise Value/
EBITDA</t>
  </si>
  <si>
    <t>Equity Value + Debt Value</t>
  </si>
  <si>
    <t>Step 1: Outline everything you know</t>
  </si>
  <si>
    <t xml:space="preserve">Step 2: How/Who are you going to pay down your debt with your free cash flow? </t>
  </si>
  <si>
    <t>Hayden's Free Cash Flows</t>
  </si>
  <si>
    <t>BPS = Basis Points. 100 bps = 1.00%</t>
  </si>
  <si>
    <t>Cash Interest is outlined in the case. It's SOFR + Something</t>
  </si>
  <si>
    <t>Exit Year</t>
  </si>
  <si>
    <t>Exit Multiple (EV / LTM EBITDA)</t>
  </si>
  <si>
    <t>Equity Value</t>
  </si>
  <si>
    <t>Step 4: Return Calculation</t>
  </si>
  <si>
    <t>Beginning Cash</t>
  </si>
  <si>
    <t>Change in cash</t>
  </si>
  <si>
    <t>Ending Cash</t>
  </si>
  <si>
    <t>Cash available after Senior Debt &amp; Unsecured Debt</t>
  </si>
  <si>
    <t>Opening Balance Cash</t>
  </si>
  <si>
    <t>Exhibit 9 - Case</t>
  </si>
  <si>
    <t>MOIC (Multiple on invested Capital)</t>
  </si>
  <si>
    <t>Step 5: Sensitivity Analysis</t>
  </si>
  <si>
    <t>PIK</t>
  </si>
  <si>
    <t>SOFR +</t>
  </si>
  <si>
    <t>Cash flows for mezzanine investors</t>
  </si>
  <si>
    <t>Equity stake of mezzanine investors</t>
  </si>
  <si>
    <t>Equity value to mezzanine investors</t>
  </si>
  <si>
    <t>Jefferson Capital Management</t>
  </si>
  <si>
    <t>Cavalier Capital</t>
  </si>
  <si>
    <t xml:space="preserve">    Mezzanine internal rate of return (IRR)</t>
  </si>
  <si>
    <t xml:space="preserve">    Mezzanine cash on cash</t>
  </si>
  <si>
    <t>Cash flows for equity investors</t>
  </si>
  <si>
    <t xml:space="preserve">    Equity IRR</t>
  </si>
  <si>
    <t xml:space="preserve">    Equity cash on cash</t>
  </si>
  <si>
    <t>Financing Package is based on Case information</t>
  </si>
  <si>
    <t>Mezzanine (Cavalier Capital)</t>
  </si>
  <si>
    <t>Equity investment (Jeffereson Capital Management)</t>
  </si>
  <si>
    <t>Haircut to EBITDA (difference from expected EBITDA vs. realitstic)</t>
  </si>
  <si>
    <t>Luke Buddie, Gennaro Di Mauro, Peter Spira, Caden Carney</t>
  </si>
  <si>
    <t>Tax Shield</t>
  </si>
  <si>
    <t>Interest</t>
  </si>
  <si>
    <t>Minimum Priciple</t>
  </si>
  <si>
    <t>Total Debt</t>
  </si>
  <si>
    <t>Tax shield</t>
  </si>
  <si>
    <t>Excess Cash Flow</t>
  </si>
  <si>
    <t>FCC</t>
  </si>
  <si>
    <t>No principal</t>
  </si>
  <si>
    <t>Team A FCC (4x, 3x, 2x) Principal</t>
  </si>
  <si>
    <t>Excess</t>
  </si>
  <si>
    <t>Target Leverage</t>
  </si>
  <si>
    <t>Debt/EBITDA</t>
  </si>
  <si>
    <t>Beginning Balance</t>
  </si>
  <si>
    <t>Debt/EBITDA: 4-6x</t>
  </si>
  <si>
    <t>Sweep</t>
  </si>
  <si>
    <t>Principal (5%)</t>
  </si>
  <si>
    <t>Term A Principal</t>
  </si>
  <si>
    <t>Target L:everage</t>
  </si>
  <si>
    <t>Target Leverage (between 4-6)</t>
  </si>
  <si>
    <t>AVG</t>
  </si>
  <si>
    <t>Sub Debt</t>
  </si>
  <si>
    <t>Equity</t>
  </si>
  <si>
    <t>Bid</t>
  </si>
  <si>
    <t>Multiple: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</si>
</sst>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\x"/>
    <numFmt numFmtId="167" formatCode="0.0"/>
    <numFmt numFmtId="168" formatCode="_(* #,##0.0_);_(* \(#,##0.0\)_)\ ;_(* 0_)"/>
    <numFmt numFmtId="169" formatCode="_(* #,##0_);_(* \(#,##0\)_)\ ;_(* 0_)"/>
    <numFmt numFmtId="170" formatCode="0.0\x"/>
    <numFmt numFmtId="171" formatCode="_(\ #,##0_);_(\ \(#,##0\)_);_(\ &quot; - &quot;_)"/>
    <numFmt numFmtId="172" formatCode="_(\ #,##0.0_);_(\ \(#,##0.0\)_);_(\ &quot; - &quot;_)"/>
    <numFmt numFmtId="173" formatCode="_(\ #,##0.0#_);_(\(\ #,##0.0#\)_);_(\ &quot; - &quot;_)"/>
    <numFmt numFmtId="174" formatCode="_(\ #,##0.0##_);_(\(\ #,##0.0##\)_);_(\ &quot; - &quot;_)"/>
    <numFmt numFmtId="175" formatCode="&quot;$&quot;#,##0_);\(#,##0\)"/>
    <numFmt numFmtId="176" formatCode="#,##0.0_)\x;\(#,##0.0\)\x"/>
    <numFmt numFmtId="177" formatCode="&quot;$&quot;\ #,##0_);&quot;$&quot;\ \(#,##0\)"/>
    <numFmt numFmtId="178" formatCode="#,##0.00_)\x;\(#,##0.00\)\x"/>
    <numFmt numFmtId="179" formatCode="#,##0.0_);\(#,##0.0\)"/>
  </numFmts>
  <fonts count="48" x14ac:knownFonts="1">
    <font>
      <sz val="11"/>
      <color theme="1"/>
      <name val="Cambri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  <charset val="2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sz val="11"/>
      <color theme="1"/>
      <name val="Garamond"/>
      <family val="1"/>
    </font>
    <font>
      <sz val="8"/>
      <color theme="1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vertAlign val="superscript"/>
      <sz val="11"/>
      <name val="Garamond"/>
      <family val="1"/>
    </font>
    <font>
      <sz val="11"/>
      <color indexed="8"/>
      <name val="Garamond"/>
      <family val="1"/>
    </font>
    <font>
      <b/>
      <sz val="11"/>
      <color indexed="8"/>
      <name val="Garamond"/>
      <family val="1"/>
    </font>
    <font>
      <i/>
      <sz val="11"/>
      <color indexed="8"/>
      <name val="Garamond"/>
      <family val="1"/>
    </font>
    <font>
      <i/>
      <sz val="11"/>
      <name val="Garamond"/>
      <family val="1"/>
    </font>
    <font>
      <b/>
      <sz val="11"/>
      <color theme="1"/>
      <name val="Garamond"/>
      <family val="1"/>
    </font>
    <font>
      <i/>
      <u/>
      <sz val="11"/>
      <color theme="1"/>
      <name val="Garamond"/>
      <family val="1"/>
    </font>
    <font>
      <sz val="11"/>
      <color theme="0"/>
      <name val="Garamond"/>
      <family val="1"/>
    </font>
    <font>
      <b/>
      <i/>
      <sz val="11"/>
      <color theme="1"/>
      <name val="Garamond"/>
      <family val="1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FF0000"/>
      <name val="Garamond"/>
      <family val="1"/>
    </font>
    <font>
      <b/>
      <sz val="11"/>
      <color theme="0"/>
      <name val="Garamond"/>
      <family val="1"/>
    </font>
    <font>
      <sz val="11"/>
      <color rgb="FF006600"/>
      <name val="Calibri"/>
      <family val="2"/>
      <scheme val="minor"/>
    </font>
    <font>
      <b/>
      <sz val="11"/>
      <color rgb="FF0000FF"/>
      <name val="Garamond"/>
      <family val="1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0000FF"/>
      <name val="Calibri"/>
      <family val="2"/>
    </font>
    <font>
      <sz val="10"/>
      <color rgb="FFFF0000"/>
      <name val="Garamond"/>
      <family val="1"/>
    </font>
    <font>
      <b/>
      <sz val="12"/>
      <color rgb="FF7030A0"/>
      <name val="Garamond"/>
      <family val="1"/>
    </font>
    <font>
      <sz val="12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D0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44" fontId="5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Alignment="0"/>
    <xf numFmtId="0" fontId="8" fillId="0" borderId="0" applyAlignment="0"/>
    <xf numFmtId="0" fontId="9" fillId="2" borderId="0" applyAlignment="0"/>
    <xf numFmtId="0" fontId="10" fillId="0" borderId="0" applyAlignment="0"/>
    <xf numFmtId="0" fontId="11" fillId="3" borderId="0" applyAlignment="0"/>
    <xf numFmtId="0" fontId="12" fillId="4" borderId="0" applyAlignment="0"/>
    <xf numFmtId="0" fontId="13" fillId="0" borderId="0" applyAlignment="0"/>
    <xf numFmtId="0" fontId="14" fillId="5" borderId="0" applyAlignment="0"/>
    <xf numFmtId="0" fontId="15" fillId="0" borderId="0" applyAlignment="0"/>
    <xf numFmtId="0" fontId="16" fillId="0" borderId="0" applyAlignment="0"/>
    <xf numFmtId="0" fontId="17" fillId="0" borderId="0" applyAlignment="0"/>
    <xf numFmtId="0" fontId="18" fillId="0" borderId="0" applyAlignment="0"/>
    <xf numFmtId="0" fontId="19" fillId="0" borderId="0" applyAlignment="0"/>
    <xf numFmtId="0" fontId="20" fillId="0" borderId="0" applyAlignment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34" fillId="0" borderId="0"/>
    <xf numFmtId="0" fontId="35" fillId="0" borderId="0"/>
    <xf numFmtId="43" fontId="5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1" fillId="8" borderId="0" applyNumberFormat="0" applyBorder="0" applyAlignment="0" applyProtection="0"/>
  </cellStyleXfs>
  <cellXfs count="151">
    <xf numFmtId="0" fontId="0" fillId="0" borderId="0" xfId="0"/>
    <xf numFmtId="0" fontId="21" fillId="0" borderId="0" xfId="21" applyFont="1"/>
    <xf numFmtId="0" fontId="22" fillId="0" borderId="0" xfId="21" applyFont="1"/>
    <xf numFmtId="0" fontId="21" fillId="0" borderId="4" xfId="21" applyFont="1" applyBorder="1"/>
    <xf numFmtId="169" fontId="23" fillId="0" borderId="0" xfId="21" applyNumberFormat="1" applyFont="1"/>
    <xf numFmtId="169" fontId="23" fillId="0" borderId="5" xfId="21" applyNumberFormat="1" applyFont="1" applyBorder="1"/>
    <xf numFmtId="0" fontId="23" fillId="0" borderId="0" xfId="21" applyFont="1"/>
    <xf numFmtId="169" fontId="24" fillId="0" borderId="0" xfId="21" applyNumberFormat="1" applyFont="1"/>
    <xf numFmtId="169" fontId="24" fillId="0" borderId="5" xfId="21" applyNumberFormat="1" applyFont="1" applyBorder="1"/>
    <xf numFmtId="0" fontId="24" fillId="0" borderId="0" xfId="21" applyFont="1"/>
    <xf numFmtId="169" fontId="26" fillId="0" borderId="0" xfId="21" applyNumberFormat="1" applyFont="1" applyAlignment="1">
      <alignment horizontal="right" vertical="top" wrapText="1"/>
    </xf>
    <xf numFmtId="169" fontId="23" fillId="0" borderId="5" xfId="21" applyNumberFormat="1" applyFont="1" applyBorder="1" applyAlignment="1">
      <alignment horizontal="right" vertical="top" wrapText="1"/>
    </xf>
    <xf numFmtId="169" fontId="23" fillId="0" borderId="0" xfId="21" applyNumberFormat="1" applyFont="1" applyAlignment="1">
      <alignment horizontal="right" vertical="top" wrapText="1"/>
    </xf>
    <xf numFmtId="0" fontId="27" fillId="0" borderId="0" xfId="21" applyFont="1" applyAlignment="1">
      <alignment horizontal="left" vertical="top"/>
    </xf>
    <xf numFmtId="0" fontId="26" fillId="0" borderId="0" xfId="21" applyFont="1" applyAlignment="1">
      <alignment horizontal="left" vertical="top"/>
    </xf>
    <xf numFmtId="169" fontId="26" fillId="0" borderId="0" xfId="22" applyNumberFormat="1" applyFont="1" applyAlignment="1">
      <alignment horizontal="right" vertical="top"/>
    </xf>
    <xf numFmtId="169" fontId="23" fillId="0" borderId="5" xfId="22" applyNumberFormat="1" applyFont="1" applyBorder="1" applyAlignment="1">
      <alignment horizontal="right" vertical="top"/>
    </xf>
    <xf numFmtId="169" fontId="23" fillId="0" borderId="0" xfId="22" applyNumberFormat="1" applyFont="1" applyAlignment="1">
      <alignment horizontal="right" vertical="top"/>
    </xf>
    <xf numFmtId="0" fontId="28" fillId="0" borderId="0" xfId="21" applyFont="1" applyAlignment="1">
      <alignment horizontal="left" vertical="top"/>
    </xf>
    <xf numFmtId="169" fontId="27" fillId="0" borderId="0" xfId="21" applyNumberFormat="1" applyFont="1" applyAlignment="1">
      <alignment horizontal="right" vertical="top"/>
    </xf>
    <xf numFmtId="169" fontId="24" fillId="0" borderId="5" xfId="21" applyNumberFormat="1" applyFont="1" applyBorder="1" applyAlignment="1">
      <alignment horizontal="right" vertical="top"/>
    </xf>
    <xf numFmtId="169" fontId="24" fillId="0" borderId="0" xfId="21" applyNumberFormat="1" applyFont="1" applyAlignment="1">
      <alignment horizontal="right" vertical="top"/>
    </xf>
    <xf numFmtId="169" fontId="26" fillId="0" borderId="3" xfId="21" applyNumberFormat="1" applyFont="1" applyBorder="1" applyAlignment="1">
      <alignment horizontal="right" vertical="top"/>
    </xf>
    <xf numFmtId="169" fontId="23" fillId="0" borderId="6" xfId="21" applyNumberFormat="1" applyFont="1" applyBorder="1" applyAlignment="1">
      <alignment horizontal="right" vertical="top"/>
    </xf>
    <xf numFmtId="169" fontId="23" fillId="0" borderId="3" xfId="21" applyNumberFormat="1" applyFont="1" applyBorder="1" applyAlignment="1">
      <alignment horizontal="right" vertical="top"/>
    </xf>
    <xf numFmtId="169" fontId="27" fillId="0" borderId="2" xfId="21" applyNumberFormat="1" applyFont="1" applyBorder="1" applyAlignment="1">
      <alignment horizontal="right" vertical="top"/>
    </xf>
    <xf numFmtId="169" fontId="24" fillId="0" borderId="1" xfId="21" applyNumberFormat="1" applyFont="1" applyBorder="1" applyAlignment="1">
      <alignment horizontal="right" vertical="top"/>
    </xf>
    <xf numFmtId="169" fontId="24" fillId="0" borderId="2" xfId="21" applyNumberFormat="1" applyFont="1" applyBorder="1" applyAlignment="1">
      <alignment horizontal="right" vertical="top"/>
    </xf>
    <xf numFmtId="168" fontId="27" fillId="0" borderId="0" xfId="21" applyNumberFormat="1" applyFont="1" applyAlignment="1">
      <alignment horizontal="left" vertical="top"/>
    </xf>
    <xf numFmtId="169" fontId="26" fillId="0" borderId="0" xfId="21" applyNumberFormat="1" applyFont="1" applyAlignment="1">
      <alignment horizontal="right" vertical="top"/>
    </xf>
    <xf numFmtId="169" fontId="23" fillId="0" borderId="5" xfId="21" applyNumberFormat="1" applyFont="1" applyBorder="1" applyAlignment="1">
      <alignment horizontal="right" vertical="top"/>
    </xf>
    <xf numFmtId="169" fontId="23" fillId="0" borderId="0" xfId="21" applyNumberFormat="1" applyFont="1" applyAlignment="1">
      <alignment horizontal="right" vertical="top"/>
    </xf>
    <xf numFmtId="168" fontId="26" fillId="0" borderId="0" xfId="21" applyNumberFormat="1" applyFont="1" applyAlignment="1">
      <alignment horizontal="left" vertical="top"/>
    </xf>
    <xf numFmtId="15" fontId="24" fillId="0" borderId="7" xfId="21" applyNumberFormat="1" applyFont="1" applyBorder="1" applyAlignment="1">
      <alignment horizontal="right" vertical="center" wrapText="1"/>
    </xf>
    <xf numFmtId="0" fontId="29" fillId="0" borderId="7" xfId="21" applyFont="1" applyBorder="1" applyAlignment="1">
      <alignment horizontal="right" vertical="center" wrapText="1"/>
    </xf>
    <xf numFmtId="0" fontId="30" fillId="0" borderId="0" xfId="21" applyFont="1"/>
    <xf numFmtId="0" fontId="21" fillId="0" borderId="0" xfId="21" applyFont="1" applyAlignment="1">
      <alignment vertical="center"/>
    </xf>
    <xf numFmtId="0" fontId="21" fillId="0" borderId="4" xfId="21" applyFont="1" applyBorder="1" applyAlignment="1">
      <alignment horizontal="center" vertical="center"/>
    </xf>
    <xf numFmtId="0" fontId="27" fillId="0" borderId="3" xfId="21" applyFont="1" applyBorder="1" applyAlignment="1">
      <alignment horizontal="center" vertical="center" wrapText="1"/>
    </xf>
    <xf numFmtId="0" fontId="26" fillId="0" borderId="0" xfId="21" applyFont="1" applyAlignment="1">
      <alignment horizontal="left" vertical="center"/>
    </xf>
    <xf numFmtId="171" fontId="26" fillId="0" borderId="0" xfId="21" applyNumberFormat="1" applyFont="1" applyAlignment="1">
      <alignment vertical="center" wrapText="1"/>
    </xf>
    <xf numFmtId="165" fontId="26" fillId="0" borderId="0" xfId="22" applyNumberFormat="1" applyFont="1" applyFill="1" applyAlignment="1">
      <alignment vertical="center"/>
    </xf>
    <xf numFmtId="172" fontId="26" fillId="0" borderId="0" xfId="21" applyNumberFormat="1" applyFont="1" applyAlignment="1">
      <alignment vertical="center" wrapText="1"/>
    </xf>
    <xf numFmtId="173" fontId="26" fillId="0" borderId="0" xfId="21" applyNumberFormat="1" applyFont="1" applyAlignment="1">
      <alignment vertical="center" wrapText="1"/>
    </xf>
    <xf numFmtId="174" fontId="26" fillId="0" borderId="0" xfId="21" applyNumberFormat="1" applyFont="1" applyAlignment="1">
      <alignment horizontal="right" vertical="center" wrapText="1"/>
    </xf>
    <xf numFmtId="0" fontId="27" fillId="0" borderId="8" xfId="21" applyFont="1" applyBorder="1" applyAlignment="1">
      <alignment horizontal="left" vertical="center"/>
    </xf>
    <xf numFmtId="171" fontId="27" fillId="0" borderId="8" xfId="21" applyNumberFormat="1" applyFont="1" applyBorder="1" applyAlignment="1">
      <alignment vertical="center" wrapText="1"/>
    </xf>
    <xf numFmtId="165" fontId="27" fillId="0" borderId="8" xfId="22" applyNumberFormat="1" applyFont="1" applyFill="1" applyBorder="1" applyAlignment="1">
      <alignment vertical="center"/>
    </xf>
    <xf numFmtId="172" fontId="27" fillId="0" borderId="8" xfId="21" applyNumberFormat="1" applyFont="1" applyBorder="1" applyAlignment="1">
      <alignment vertical="center" wrapText="1"/>
    </xf>
    <xf numFmtId="173" fontId="27" fillId="0" borderId="8" xfId="21" applyNumberFormat="1" applyFont="1" applyBorder="1" applyAlignment="1">
      <alignment vertical="center" wrapText="1"/>
    </xf>
    <xf numFmtId="174" fontId="27" fillId="0" borderId="8" xfId="21" applyNumberFormat="1" applyFont="1" applyBorder="1" applyAlignment="1">
      <alignment horizontal="right" vertical="center" wrapText="1"/>
    </xf>
    <xf numFmtId="0" fontId="22" fillId="0" borderId="0" xfId="21" applyFont="1" applyAlignment="1">
      <alignment vertical="center"/>
    </xf>
    <xf numFmtId="166" fontId="26" fillId="0" borderId="0" xfId="21" applyNumberFormat="1" applyFont="1" applyAlignment="1">
      <alignment horizontal="right" vertical="center" wrapText="1"/>
    </xf>
    <xf numFmtId="166" fontId="21" fillId="0" borderId="0" xfId="21" applyNumberFormat="1" applyFont="1"/>
    <xf numFmtId="166" fontId="27" fillId="0" borderId="8" xfId="21" applyNumberFormat="1" applyFont="1" applyBorder="1" applyAlignment="1">
      <alignment horizontal="right" vertical="center" wrapText="1"/>
    </xf>
    <xf numFmtId="0" fontId="21" fillId="0" borderId="4" xfId="21" applyFont="1" applyBorder="1" applyAlignment="1">
      <alignment vertical="center"/>
    </xf>
    <xf numFmtId="0" fontId="30" fillId="0" borderId="0" xfId="0" applyFont="1" applyAlignment="1">
      <alignment horizontal="right"/>
    </xf>
    <xf numFmtId="37" fontId="21" fillId="0" borderId="0" xfId="1" applyNumberFormat="1" applyFont="1"/>
    <xf numFmtId="0" fontId="21" fillId="0" borderId="0" xfId="0" applyFont="1"/>
    <xf numFmtId="0" fontId="21" fillId="0" borderId="3" xfId="0" applyFont="1" applyBorder="1"/>
    <xf numFmtId="0" fontId="21" fillId="0" borderId="0" xfId="0" applyFont="1" applyAlignment="1">
      <alignment horizontal="right"/>
    </xf>
    <xf numFmtId="164" fontId="21" fillId="0" borderId="0" xfId="1" applyNumberFormat="1" applyFont="1"/>
    <xf numFmtId="0" fontId="30" fillId="0" borderId="3" xfId="0" applyFont="1" applyBorder="1"/>
    <xf numFmtId="0" fontId="30" fillId="0" borderId="0" xfId="0" applyFont="1"/>
    <xf numFmtId="37" fontId="21" fillId="0" borderId="0" xfId="0" applyNumberFormat="1" applyFont="1"/>
    <xf numFmtId="0" fontId="21" fillId="0" borderId="4" xfId="0" applyFont="1" applyBorder="1"/>
    <xf numFmtId="164" fontId="21" fillId="0" borderId="4" xfId="1" applyNumberFormat="1" applyFont="1" applyBorder="1"/>
    <xf numFmtId="165" fontId="21" fillId="0" borderId="4" xfId="0" applyNumberFormat="1" applyFont="1" applyBorder="1"/>
    <xf numFmtId="175" fontId="21" fillId="0" borderId="0" xfId="1" applyNumberFormat="1" applyFont="1" applyBorder="1" applyAlignment="1">
      <alignment horizontal="center"/>
    </xf>
    <xf numFmtId="175" fontId="21" fillId="0" borderId="4" xfId="1" applyNumberFormat="1" applyFont="1" applyBorder="1" applyAlignment="1">
      <alignment horizontal="center"/>
    </xf>
    <xf numFmtId="0" fontId="21" fillId="0" borderId="9" xfId="0" applyFont="1" applyBorder="1"/>
    <xf numFmtId="0" fontId="30" fillId="0" borderId="9" xfId="0" applyFont="1" applyBorder="1" applyAlignment="1">
      <alignment wrapText="1"/>
    </xf>
    <xf numFmtId="0" fontId="30" fillId="0" borderId="9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9" fontId="21" fillId="0" borderId="0" xfId="0" applyNumberFormat="1" applyFont="1" applyAlignment="1">
      <alignment horizontal="center"/>
    </xf>
    <xf numFmtId="44" fontId="21" fillId="0" borderId="0" xfId="1" applyFont="1" applyBorder="1" applyAlignment="1">
      <alignment horizontal="center"/>
    </xf>
    <xf numFmtId="166" fontId="30" fillId="0" borderId="0" xfId="0" applyNumberFormat="1" applyFont="1"/>
    <xf numFmtId="0" fontId="21" fillId="0" borderId="4" xfId="0" applyFont="1" applyBorder="1" applyAlignment="1">
      <alignment horizontal="right"/>
    </xf>
    <xf numFmtId="0" fontId="30" fillId="0" borderId="9" xfId="0" applyFont="1" applyBorder="1" applyAlignment="1">
      <alignment horizontal="right"/>
    </xf>
    <xf numFmtId="170" fontId="21" fillId="0" borderId="0" xfId="0" applyNumberFormat="1" applyFont="1" applyAlignment="1">
      <alignment horizontal="center"/>
    </xf>
    <xf numFmtId="39" fontId="21" fillId="0" borderId="0" xfId="1" applyNumberFormat="1" applyFont="1" applyBorder="1" applyAlignment="1">
      <alignment horizontal="center"/>
    </xf>
    <xf numFmtId="10" fontId="21" fillId="0" borderId="0" xfId="2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70" fontId="21" fillId="0" borderId="3" xfId="0" applyNumberFormat="1" applyFont="1" applyBorder="1" applyAlignment="1">
      <alignment horizontal="center"/>
    </xf>
    <xf numFmtId="166" fontId="21" fillId="0" borderId="0" xfId="0" applyNumberFormat="1" applyFont="1" applyAlignment="1">
      <alignment horizontal="center"/>
    </xf>
    <xf numFmtId="37" fontId="21" fillId="0" borderId="10" xfId="1" applyNumberFormat="1" applyFont="1" applyBorder="1"/>
    <xf numFmtId="37" fontId="21" fillId="0" borderId="10" xfId="0" applyNumberFormat="1" applyFont="1" applyBorder="1"/>
    <xf numFmtId="0" fontId="33" fillId="0" borderId="0" xfId="0" applyFont="1"/>
    <xf numFmtId="0" fontId="22" fillId="0" borderId="0" xfId="0" applyFont="1"/>
    <xf numFmtId="0" fontId="21" fillId="0" borderId="0" xfId="0" applyFont="1" applyAlignment="1">
      <alignment horizontal="left"/>
    </xf>
    <xf numFmtId="0" fontId="30" fillId="0" borderId="0" xfId="21" applyFont="1" applyAlignment="1">
      <alignment horizontal="center" vertical="center"/>
    </xf>
    <xf numFmtId="0" fontId="36" fillId="0" borderId="0" xfId="0" applyFont="1"/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wrapText="1"/>
    </xf>
    <xf numFmtId="9" fontId="30" fillId="0" borderId="0" xfId="0" applyNumberFormat="1" applyFont="1" applyAlignment="1">
      <alignment horizontal="center"/>
    </xf>
    <xf numFmtId="165" fontId="21" fillId="0" borderId="0" xfId="0" applyNumberFormat="1" applyFont="1"/>
    <xf numFmtId="0" fontId="30" fillId="0" borderId="0" xfId="0" applyFont="1" applyAlignment="1">
      <alignment horizontal="left"/>
    </xf>
    <xf numFmtId="0" fontId="30" fillId="0" borderId="3" xfId="0" applyFont="1" applyBorder="1" applyAlignment="1">
      <alignment horizontal="centerContinuous"/>
    </xf>
    <xf numFmtId="175" fontId="21" fillId="0" borderId="3" xfId="1" applyNumberFormat="1" applyFont="1" applyBorder="1" applyAlignment="1">
      <alignment horizontal="centerContinuous"/>
    </xf>
    <xf numFmtId="9" fontId="38" fillId="7" borderId="0" xfId="20" applyFont="1" applyFill="1" applyBorder="1"/>
    <xf numFmtId="164" fontId="38" fillId="7" borderId="0" xfId="1" applyNumberFormat="1" applyFont="1" applyFill="1" applyBorder="1"/>
    <xf numFmtId="43" fontId="38" fillId="7" borderId="0" xfId="27" applyFont="1" applyFill="1" applyBorder="1"/>
    <xf numFmtId="166" fontId="39" fillId="7" borderId="0" xfId="0" applyNumberFormat="1" applyFont="1" applyFill="1"/>
    <xf numFmtId="166" fontId="39" fillId="7" borderId="4" xfId="0" applyNumberFormat="1" applyFont="1" applyFill="1" applyBorder="1"/>
    <xf numFmtId="164" fontId="38" fillId="7" borderId="11" xfId="1" applyNumberFormat="1" applyFont="1" applyFill="1" applyBorder="1"/>
    <xf numFmtId="164" fontId="38" fillId="7" borderId="3" xfId="1" applyNumberFormat="1" applyFont="1" applyFill="1" applyBorder="1"/>
    <xf numFmtId="37" fontId="21" fillId="7" borderId="8" xfId="0" applyNumberFormat="1" applyFont="1" applyFill="1" applyBorder="1"/>
    <xf numFmtId="37" fontId="21" fillId="0" borderId="3" xfId="0" applyNumberFormat="1" applyFont="1" applyBorder="1"/>
    <xf numFmtId="0" fontId="40" fillId="0" borderId="0" xfId="0" applyFont="1"/>
    <xf numFmtId="0" fontId="40" fillId="0" borderId="0" xfId="0" applyFont="1" applyAlignment="1">
      <alignment horizontal="centerContinuous"/>
    </xf>
    <xf numFmtId="37" fontId="21" fillId="0" borderId="4" xfId="0" applyNumberFormat="1" applyFont="1" applyBorder="1"/>
    <xf numFmtId="9" fontId="32" fillId="0" borderId="6" xfId="20" applyFont="1" applyFill="1" applyBorder="1" applyAlignment="1">
      <alignment horizontal="center"/>
    </xf>
    <xf numFmtId="9" fontId="21" fillId="0" borderId="5" xfId="20" applyFont="1" applyFill="1" applyBorder="1" applyAlignment="1">
      <alignment horizontal="center"/>
    </xf>
    <xf numFmtId="0" fontId="41" fillId="0" borderId="0" xfId="0" applyFont="1"/>
    <xf numFmtId="0" fontId="42" fillId="0" borderId="0" xfId="0" applyFont="1"/>
    <xf numFmtId="176" fontId="43" fillId="7" borderId="0" xfId="27" applyNumberFormat="1" applyFont="1" applyFill="1" applyBorder="1"/>
    <xf numFmtId="177" fontId="42" fillId="7" borderId="0" xfId="0" applyNumberFormat="1" applyFont="1" applyFill="1"/>
    <xf numFmtId="37" fontId="41" fillId="7" borderId="0" xfId="0" applyNumberFormat="1" applyFont="1" applyFill="1"/>
    <xf numFmtId="165" fontId="41" fillId="7" borderId="0" xfId="20" applyNumberFormat="1" applyFont="1" applyFill="1" applyBorder="1"/>
    <xf numFmtId="164" fontId="38" fillId="7" borderId="4" xfId="1" applyNumberFormat="1" applyFont="1" applyFill="1" applyBorder="1"/>
    <xf numFmtId="178" fontId="41" fillId="7" borderId="0" xfId="27" applyNumberFormat="1" applyFont="1" applyFill="1" applyBorder="1"/>
    <xf numFmtId="0" fontId="45" fillId="0" borderId="0" xfId="0" applyFont="1"/>
    <xf numFmtId="165" fontId="42" fillId="7" borderId="0" xfId="20" applyNumberFormat="1" applyFont="1" applyFill="1" applyBorder="1"/>
    <xf numFmtId="178" fontId="42" fillId="7" borderId="0" xfId="27" applyNumberFormat="1" applyFont="1" applyFill="1" applyBorder="1"/>
    <xf numFmtId="0" fontId="31" fillId="0" borderId="0" xfId="0" applyFont="1" applyAlignment="1">
      <alignment horizontal="center"/>
    </xf>
    <xf numFmtId="10" fontId="44" fillId="0" borderId="0" xfId="0" applyNumberFormat="1" applyFont="1"/>
    <xf numFmtId="9" fontId="47" fillId="0" borderId="0" xfId="28" applyFont="1" applyFill="1"/>
    <xf numFmtId="164" fontId="21" fillId="0" borderId="0" xfId="0" applyNumberFormat="1" applyFont="1"/>
    <xf numFmtId="10" fontId="38" fillId="7" borderId="0" xfId="20" applyNumberFormat="1" applyFont="1" applyFill="1" applyBorder="1"/>
    <xf numFmtId="10" fontId="21" fillId="0" borderId="0" xfId="20" applyNumberFormat="1" applyFont="1"/>
    <xf numFmtId="10" fontId="1" fillId="8" borderId="0" xfId="29" applyNumberFormat="1"/>
    <xf numFmtId="37" fontId="21" fillId="7" borderId="0" xfId="0" applyNumberFormat="1" applyFont="1" applyFill="1"/>
    <xf numFmtId="9" fontId="21" fillId="0" borderId="0" xfId="0" applyNumberFormat="1" applyFont="1"/>
    <xf numFmtId="179" fontId="21" fillId="7" borderId="0" xfId="0" applyNumberFormat="1" applyFont="1" applyFill="1"/>
    <xf numFmtId="179" fontId="30" fillId="7" borderId="0" xfId="0" applyNumberFormat="1" applyFont="1" applyFill="1"/>
    <xf numFmtId="0" fontId="30" fillId="0" borderId="10" xfId="0" applyFont="1" applyBorder="1"/>
    <xf numFmtId="167" fontId="30" fillId="7" borderId="0" xfId="0" applyNumberFormat="1" applyFont="1" applyFill="1"/>
    <xf numFmtId="37" fontId="21" fillId="7" borderId="3" xfId="0" applyNumberFormat="1" applyFont="1" applyFill="1" applyBorder="1"/>
    <xf numFmtId="179" fontId="21" fillId="7" borderId="9" xfId="0" applyNumberFormat="1" applyFont="1" applyFill="1" applyBorder="1"/>
    <xf numFmtId="179" fontId="30" fillId="7" borderId="9" xfId="0" applyNumberFormat="1" applyFont="1" applyFill="1" applyBorder="1"/>
    <xf numFmtId="10" fontId="21" fillId="9" borderId="0" xfId="20" applyNumberFormat="1" applyFont="1" applyFill="1"/>
    <xf numFmtId="10" fontId="1" fillId="0" borderId="0" xfId="29" applyNumberFormat="1" applyFill="1"/>
    <xf numFmtId="175" fontId="21" fillId="0" borderId="0" xfId="0" applyNumberFormat="1" applyFont="1"/>
    <xf numFmtId="2" fontId="21" fillId="0" borderId="0" xfId="0" applyNumberFormat="1" applyFont="1"/>
    <xf numFmtId="0" fontId="21" fillId="0" borderId="0" xfId="0" applyFont="1" applyAlignment="1">
      <alignment horizontal="right" vertical="center" textRotation="90" wrapText="1"/>
    </xf>
    <xf numFmtId="0" fontId="37" fillId="6" borderId="0" xfId="21" applyFont="1" applyFill="1" applyAlignment="1">
      <alignment horizontal="center" vertical="center"/>
    </xf>
    <xf numFmtId="0" fontId="30" fillId="0" borderId="0" xfId="21" applyFont="1" applyAlignment="1">
      <alignment horizontal="center" vertical="center"/>
    </xf>
    <xf numFmtId="167" fontId="30" fillId="0" borderId="3" xfId="0" applyNumberFormat="1" applyFont="1" applyBorder="1" applyAlignment="1">
      <alignment horizontal="center"/>
    </xf>
    <xf numFmtId="164" fontId="21" fillId="0" borderId="0" xfId="1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21" applyFont="1" applyAlignment="1">
      <alignment horizontal="center" vertical="center"/>
    </xf>
  </cellXfs>
  <cellStyles count="30">
    <cellStyle name="60% - Accent5" xfId="29" builtinId="48"/>
    <cellStyle name="ChartingText" xfId="6" xr:uid="{00000000-0005-0000-0000-000000000000}"/>
    <cellStyle name="CHPTop" xfId="7" xr:uid="{00000000-0005-0000-0000-000001000000}"/>
    <cellStyle name="ColumnHeaderNormal" xfId="8" xr:uid="{00000000-0005-0000-0000-000002000000}"/>
    <cellStyle name="Comma" xfId="27" builtinId="3"/>
    <cellStyle name="Comma 2" xfId="5" xr:uid="{00000000-0005-0000-0000-000004000000}"/>
    <cellStyle name="Currency" xfId="1" builtinId="4"/>
    <cellStyle name="Currency 2" xfId="3" xr:uid="{00000000-0005-0000-0000-000006000000}"/>
    <cellStyle name="Invisible" xfId="9" xr:uid="{00000000-0005-0000-0000-000007000000}"/>
    <cellStyle name="NewColumnHeaderNormal" xfId="10" xr:uid="{00000000-0005-0000-0000-000008000000}"/>
    <cellStyle name="NewSectionHeaderNormal" xfId="11" xr:uid="{00000000-0005-0000-0000-000009000000}"/>
    <cellStyle name="NewTitleNormal" xfId="12" xr:uid="{00000000-0005-0000-0000-00000A000000}"/>
    <cellStyle name="Normal" xfId="0" builtinId="0"/>
    <cellStyle name="Normal 2" xfId="2" xr:uid="{00000000-0005-0000-0000-00000C000000}"/>
    <cellStyle name="Normal 2 2 2" xfId="25" xr:uid="{18CC149F-57F0-4E7B-9A8A-EA78BC82BC5E}"/>
    <cellStyle name="Normal 2 3" xfId="24" xr:uid="{C33509C2-5E43-4124-A45B-BD01338A0010}"/>
    <cellStyle name="Normal 3" xfId="21" xr:uid="{00368916-1FC6-4CC3-8FE3-60AB54E1883D}"/>
    <cellStyle name="Normal 3 2" xfId="23" xr:uid="{BD9E5CC6-6011-4571-8335-2EF6A36656C8}"/>
    <cellStyle name="Normal 3 2 2" xfId="26" xr:uid="{20A4604C-671F-4454-8714-8DAF036FE941}"/>
    <cellStyle name="Percent" xfId="20" builtinId="5"/>
    <cellStyle name="Percent 2" xfId="4" xr:uid="{00000000-0005-0000-0000-00000E000000}"/>
    <cellStyle name="Percent 3" xfId="22" xr:uid="{7454F3FE-85E1-4BD3-A027-FBEAB465CA50}"/>
    <cellStyle name="Percent 4" xfId="28" xr:uid="{A2F6AF2D-8BD7-4224-9D70-2F270CBDD031}"/>
    <cellStyle name="SectionHeaderNormal" xfId="13" xr:uid="{00000000-0005-0000-0000-00000F000000}"/>
    <cellStyle name="SubScript" xfId="14" xr:uid="{00000000-0005-0000-0000-000010000000}"/>
    <cellStyle name="SuperScript" xfId="15" xr:uid="{00000000-0005-0000-0000-000011000000}"/>
    <cellStyle name="TextBold" xfId="16" xr:uid="{00000000-0005-0000-0000-000012000000}"/>
    <cellStyle name="TextItalic" xfId="17" xr:uid="{00000000-0005-0000-0000-000013000000}"/>
    <cellStyle name="TextNormal" xfId="18" xr:uid="{00000000-0005-0000-0000-000014000000}"/>
    <cellStyle name="TitleNormal" xfId="19" xr:uid="{00000000-0005-0000-0000-000015000000}"/>
  </cellStyles>
  <dxfs count="0"/>
  <tableStyles count="0" defaultTableStyle="TableStyleMedium2" defaultPivotStyle="PivotStyleLight16"/>
  <colors>
    <mruColors>
      <color rgb="FF006600"/>
      <color rgb="FF0000FF"/>
      <color rgb="FFFFFFD0"/>
      <color rgb="FFC6D9F1"/>
      <color rgb="FF8EB4E3"/>
      <color rgb="FF558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rden44.sharepoint.com/Users/loutskinaE/Desktop/Darden%20Teaching/EFPE/EFPE%20Current%20Set%20of%20Cases/A11%20%20Clear%20channel%20deal%20falling%20through/CCU_v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"/>
      <sheetName val="US Leverged Buyout Activity"/>
      <sheetName val="Markets"/>
      <sheetName val="Stock Price"/>
      <sheetName val="LBO Model"/>
      <sheetName val="Financial Exhibits"/>
      <sheetName val="Funds"/>
      <sheetName val="LBOs"/>
    </sheetNames>
    <sheetDataSet>
      <sheetData sheetId="0"/>
      <sheetData sheetId="1"/>
      <sheetData sheetId="2"/>
      <sheetData sheetId="3">
        <row r="7">
          <cell r="D7" t="str">
            <v>1Q 1994</v>
          </cell>
        </row>
      </sheetData>
      <sheetData sheetId="4">
        <row r="6">
          <cell r="K6">
            <v>1</v>
          </cell>
        </row>
        <row r="16">
          <cell r="K16">
            <v>0.35</v>
          </cell>
        </row>
        <row r="37">
          <cell r="K37">
            <v>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605C-A685-114E-84D5-8EFF3BEACC13}">
  <sheetPr>
    <pageSetUpPr fitToPage="1"/>
  </sheetPr>
  <dimension ref="A1:L146"/>
  <sheetViews>
    <sheetView showGridLines="0" tabSelected="1" zoomScaleNormal="100" workbookViewId="0">
      <selection activeCell="E62" sqref="E62"/>
    </sheetView>
  </sheetViews>
  <sheetFormatPr baseColWidth="10" defaultColWidth="9" defaultRowHeight="15" x14ac:dyDescent="0.2"/>
  <cols>
    <col min="1" max="1" width="46.33203125" style="58" bestFit="1" customWidth="1"/>
    <col min="2" max="2" width="53.83203125" style="58" bestFit="1" customWidth="1"/>
    <col min="3" max="3" width="10.5" style="58" bestFit="1" customWidth="1"/>
    <col min="4" max="4" width="7.6640625" style="58" bestFit="1" customWidth="1"/>
    <col min="5" max="5" width="10.33203125" style="58" bestFit="1" customWidth="1"/>
    <col min="6" max="6" width="12.5" style="58" bestFit="1" customWidth="1"/>
    <col min="7" max="7" width="8.6640625" style="58" bestFit="1" customWidth="1"/>
    <col min="8" max="8" width="13.6640625" style="58" customWidth="1"/>
    <col min="9" max="9" width="8.6640625" style="58" bestFit="1" customWidth="1"/>
    <col min="10" max="10" width="17" style="58" bestFit="1" customWidth="1"/>
    <col min="11" max="16384" width="9" style="58"/>
  </cols>
  <sheetData>
    <row r="1" spans="1:12" ht="16" thickBot="1" x14ac:dyDescent="0.25">
      <c r="A1" s="58" t="s">
        <v>124</v>
      </c>
      <c r="B1" s="65"/>
      <c r="C1" s="65"/>
      <c r="D1" s="65"/>
      <c r="E1" s="65"/>
      <c r="F1" s="65"/>
      <c r="G1" s="65"/>
      <c r="H1" s="65"/>
      <c r="I1" s="65"/>
    </row>
    <row r="2" spans="1:12" ht="16" thickTop="1" x14ac:dyDescent="0.2">
      <c r="B2" s="145" t="s">
        <v>91</v>
      </c>
      <c r="C2" s="145"/>
      <c r="D2" s="145"/>
      <c r="E2" s="145"/>
      <c r="F2" s="145"/>
      <c r="G2" s="145"/>
      <c r="H2" s="145"/>
      <c r="I2" s="145"/>
    </row>
    <row r="3" spans="1:12" x14ac:dyDescent="0.2">
      <c r="B3" s="146" t="s">
        <v>36</v>
      </c>
      <c r="C3" s="146"/>
      <c r="D3" s="146"/>
      <c r="E3" s="146"/>
      <c r="F3" s="146"/>
      <c r="G3" s="146"/>
      <c r="H3" s="146"/>
      <c r="I3" s="146"/>
    </row>
    <row r="4" spans="1:12" x14ac:dyDescent="0.2">
      <c r="B4" s="149" t="s">
        <v>65</v>
      </c>
      <c r="C4" s="149"/>
      <c r="D4" s="149"/>
      <c r="E4" s="149"/>
      <c r="F4" s="149"/>
      <c r="G4" s="149"/>
      <c r="H4" s="149"/>
      <c r="I4" s="149"/>
    </row>
    <row r="5" spans="1:12" ht="16" thickBot="1" x14ac:dyDescent="0.25">
      <c r="B5" s="65"/>
      <c r="C5" s="65"/>
      <c r="D5" s="65"/>
      <c r="E5" s="65"/>
      <c r="F5" s="65"/>
      <c r="G5" s="65"/>
      <c r="H5" s="65"/>
      <c r="I5" s="65"/>
    </row>
    <row r="6" spans="1:12" ht="16" thickTop="1" x14ac:dyDescent="0.2">
      <c r="B6" s="56" t="s">
        <v>63</v>
      </c>
      <c r="D6" s="100">
        <f>'Ex 10 Projections'!E18</f>
        <v>1438.43</v>
      </c>
      <c r="E6" s="91" t="s">
        <v>31</v>
      </c>
      <c r="H6" s="56" t="s">
        <v>76</v>
      </c>
      <c r="I6" s="79">
        <f>D12</f>
        <v>7.5</v>
      </c>
      <c r="L6" s="127"/>
    </row>
    <row r="7" spans="1:12" x14ac:dyDescent="0.2">
      <c r="B7" s="56" t="s">
        <v>62</v>
      </c>
      <c r="D7" s="81">
        <v>0.03</v>
      </c>
      <c r="H7" s="56" t="s">
        <v>73</v>
      </c>
      <c r="I7" s="101">
        <f>'Ex 11 Comps'!I16</f>
        <v>64.2</v>
      </c>
      <c r="J7" s="91" t="s">
        <v>35</v>
      </c>
    </row>
    <row r="8" spans="1:12" x14ac:dyDescent="0.2">
      <c r="B8" s="56" t="s">
        <v>32</v>
      </c>
      <c r="D8" s="99">
        <v>0.23</v>
      </c>
      <c r="E8" s="91" t="s">
        <v>31</v>
      </c>
      <c r="H8" s="56" t="s">
        <v>74</v>
      </c>
      <c r="I8" s="100">
        <f>('Ex 11 Comps'!I16*'Ex 11 Comps'!J16)+'Ex 11 Comps'!K16</f>
        <v>8758.648000000001</v>
      </c>
      <c r="J8" s="91" t="s">
        <v>90</v>
      </c>
    </row>
    <row r="9" spans="1:12" x14ac:dyDescent="0.2">
      <c r="B9" s="56" t="s">
        <v>104</v>
      </c>
      <c r="D9" s="100">
        <v>0</v>
      </c>
      <c r="E9" s="91" t="s">
        <v>105</v>
      </c>
      <c r="H9" s="84"/>
      <c r="I9" s="84"/>
      <c r="J9" s="91"/>
    </row>
    <row r="10" spans="1:12" x14ac:dyDescent="0.2">
      <c r="B10" s="60"/>
      <c r="E10" s="91"/>
      <c r="F10" s="56"/>
      <c r="H10" s="56"/>
      <c r="I10" s="84"/>
    </row>
    <row r="11" spans="1:12" ht="16" x14ac:dyDescent="0.2">
      <c r="B11" s="78" t="s">
        <v>66</v>
      </c>
      <c r="C11" s="70"/>
      <c r="D11" s="70"/>
      <c r="E11" s="71" t="s">
        <v>64</v>
      </c>
      <c r="F11" s="72" t="s">
        <v>34</v>
      </c>
      <c r="G11" s="72" t="s">
        <v>108</v>
      </c>
      <c r="H11" s="58" t="s">
        <v>143</v>
      </c>
      <c r="J11" s="72" t="s">
        <v>109</v>
      </c>
    </row>
    <row r="12" spans="1:12" x14ac:dyDescent="0.2">
      <c r="B12" s="60" t="s">
        <v>77</v>
      </c>
      <c r="D12" s="76">
        <f>SUM(D13:D16)</f>
        <v>7.5</v>
      </c>
      <c r="E12" s="68">
        <f>D6*D12</f>
        <v>10788.225</v>
      </c>
      <c r="F12" s="73"/>
    </row>
    <row r="13" spans="1:12" x14ac:dyDescent="0.2">
      <c r="B13" s="60" t="s">
        <v>3</v>
      </c>
      <c r="D13" s="102">
        <v>2.5</v>
      </c>
      <c r="E13" s="68">
        <f>D13*$D$6</f>
        <v>3596.0750000000003</v>
      </c>
      <c r="F13" s="128">
        <f>D7+J13</f>
        <v>5.5E-2</v>
      </c>
      <c r="H13" s="73">
        <f>(E13+E14)/E29</f>
        <v>3.5000000000000004</v>
      </c>
      <c r="I13" s="73"/>
      <c r="J13" s="125">
        <v>2.5000000000000001E-2</v>
      </c>
    </row>
    <row r="14" spans="1:12" x14ac:dyDescent="0.2">
      <c r="B14" s="60" t="s">
        <v>4</v>
      </c>
      <c r="D14" s="102">
        <v>1</v>
      </c>
      <c r="E14" s="68">
        <f>D14*$D$6</f>
        <v>1438.43</v>
      </c>
      <c r="F14" s="128">
        <f>D7+J14</f>
        <v>7.4999999999999997E-2</v>
      </c>
      <c r="H14" s="74"/>
      <c r="I14" s="73"/>
      <c r="J14" s="125">
        <v>4.4999999999999998E-2</v>
      </c>
    </row>
    <row r="15" spans="1:12" x14ac:dyDescent="0.2">
      <c r="B15" s="60" t="s">
        <v>121</v>
      </c>
      <c r="D15" s="102">
        <v>2</v>
      </c>
      <c r="E15" s="68">
        <f>D15*$D$6</f>
        <v>2876.86</v>
      </c>
      <c r="F15" s="81">
        <v>0.11</v>
      </c>
      <c r="G15" s="81">
        <v>0.02</v>
      </c>
      <c r="H15" s="74"/>
      <c r="I15" s="75"/>
      <c r="J15" s="58" t="s">
        <v>127</v>
      </c>
    </row>
    <row r="16" spans="1:12" ht="16" thickBot="1" x14ac:dyDescent="0.25">
      <c r="B16" s="77" t="s">
        <v>122</v>
      </c>
      <c r="C16" s="65"/>
      <c r="D16" s="103">
        <v>2</v>
      </c>
      <c r="E16" s="69">
        <f>E12-E13-E14-E15</f>
        <v>2876.8599999999992</v>
      </c>
      <c r="F16" s="65"/>
      <c r="G16" s="65"/>
      <c r="H16" s="65"/>
      <c r="I16" s="65"/>
      <c r="J16" s="132">
        <v>0.05</v>
      </c>
    </row>
    <row r="17" spans="2:11" ht="17" thickTop="1" thickBot="1" x14ac:dyDescent="0.25">
      <c r="B17" s="65"/>
      <c r="C17" s="65"/>
      <c r="D17" s="65"/>
      <c r="E17" s="65"/>
      <c r="F17" s="65"/>
      <c r="G17" s="65"/>
      <c r="H17" s="65"/>
      <c r="I17" s="65"/>
    </row>
    <row r="18" spans="2:11" ht="16" thickTop="1" x14ac:dyDescent="0.2">
      <c r="B18" s="60"/>
    </row>
    <row r="19" spans="2:11" x14ac:dyDescent="0.2">
      <c r="B19" s="145" t="s">
        <v>92</v>
      </c>
      <c r="C19" s="145"/>
      <c r="D19" s="145"/>
      <c r="E19" s="145"/>
      <c r="F19" s="145"/>
      <c r="G19" s="145"/>
      <c r="H19" s="145"/>
      <c r="I19" s="145"/>
    </row>
    <row r="20" spans="2:11" x14ac:dyDescent="0.2">
      <c r="B20" s="146" t="s">
        <v>36</v>
      </c>
      <c r="C20" s="146"/>
      <c r="D20" s="146"/>
      <c r="E20" s="146"/>
      <c r="F20" s="146"/>
      <c r="G20" s="146"/>
      <c r="H20" s="146"/>
      <c r="I20" s="146"/>
    </row>
    <row r="21" spans="2:11" x14ac:dyDescent="0.2">
      <c r="B21" s="148" t="s">
        <v>71</v>
      </c>
      <c r="C21" s="148"/>
      <c r="D21" s="148"/>
      <c r="E21" s="148"/>
      <c r="F21" s="148"/>
      <c r="G21" s="148"/>
      <c r="H21" s="148"/>
      <c r="I21" s="148"/>
      <c r="K21" s="58" t="s">
        <v>135</v>
      </c>
    </row>
    <row r="22" spans="2:11" ht="16" thickBot="1" x14ac:dyDescent="0.25">
      <c r="B22" s="65"/>
      <c r="C22" s="65"/>
      <c r="D22" s="65"/>
      <c r="E22" s="66"/>
      <c r="F22" s="67"/>
      <c r="G22" s="65"/>
      <c r="H22" s="65"/>
      <c r="I22" s="65"/>
      <c r="K22" s="58" t="s">
        <v>138</v>
      </c>
    </row>
    <row r="23" spans="2:11" s="63" customFormat="1" ht="16" thickTop="1" x14ac:dyDescent="0.2">
      <c r="B23" s="62"/>
      <c r="C23" s="62"/>
      <c r="D23" s="62">
        <v>2023</v>
      </c>
      <c r="E23" s="62">
        <v>2024</v>
      </c>
      <c r="F23" s="62">
        <v>2025</v>
      </c>
      <c r="G23" s="62">
        <v>2026</v>
      </c>
      <c r="H23" s="62">
        <v>2027</v>
      </c>
      <c r="I23" s="62">
        <v>2028</v>
      </c>
    </row>
    <row r="24" spans="2:11" x14ac:dyDescent="0.2">
      <c r="B24" s="58" t="str">
        <f>'Ex 10 Projections'!B11</f>
        <v>Total revenue</v>
      </c>
      <c r="D24" s="104">
        <f>'Ex 10 Projections'!D11</f>
        <v>8674.42</v>
      </c>
      <c r="E24" s="104">
        <f>'Ex 10 Projections'!E11</f>
        <v>8471</v>
      </c>
      <c r="F24" s="104">
        <f>'Ex 10 Projections'!F11</f>
        <v>8553</v>
      </c>
      <c r="G24" s="104">
        <f>'Ex 10 Projections'!G11</f>
        <v>8862.2900000000009</v>
      </c>
      <c r="H24" s="104">
        <f>'Ex 10 Projections'!H11</f>
        <v>9181.33</v>
      </c>
      <c r="I24" s="104">
        <f>'Ex 10 Projections'!I11</f>
        <v>9582.61</v>
      </c>
      <c r="J24" s="61"/>
      <c r="K24" s="61"/>
    </row>
    <row r="25" spans="2:11" x14ac:dyDescent="0.2">
      <c r="B25" s="58" t="str">
        <f>'Ex 10 Projections'!B12</f>
        <v xml:space="preserve">   Cost of goods sold</v>
      </c>
      <c r="D25" s="105">
        <f>'Ex 10 Projections'!D12</f>
        <v>4996.68</v>
      </c>
      <c r="E25" s="105">
        <f>'Ex 10 Projections'!E12</f>
        <v>5067.8</v>
      </c>
      <c r="F25" s="105">
        <f>'Ex 10 Projections'!F12</f>
        <v>5082.1000000000004</v>
      </c>
      <c r="G25" s="105">
        <f>'Ex 10 Projections'!G12</f>
        <v>5241.16</v>
      </c>
      <c r="H25" s="105">
        <f>'Ex 10 Projections'!H12</f>
        <v>5407.8</v>
      </c>
      <c r="I25" s="105">
        <f>'Ex 10 Projections'!I12</f>
        <v>5605.83</v>
      </c>
      <c r="J25" s="61"/>
      <c r="K25" s="61"/>
    </row>
    <row r="26" spans="2:11" x14ac:dyDescent="0.2">
      <c r="B26" s="58" t="str">
        <f>'Ex 10 Projections'!B13</f>
        <v>Gross profit</v>
      </c>
      <c r="D26" s="57">
        <f t="shared" ref="D26:I26" si="0">D24-D25</f>
        <v>3677.74</v>
      </c>
      <c r="E26" s="57">
        <f t="shared" si="0"/>
        <v>3403.2</v>
      </c>
      <c r="F26" s="57">
        <f t="shared" si="0"/>
        <v>3470.8999999999996</v>
      </c>
      <c r="G26" s="57">
        <f t="shared" si="0"/>
        <v>3621.130000000001</v>
      </c>
      <c r="H26" s="57">
        <f t="shared" si="0"/>
        <v>3773.5299999999997</v>
      </c>
      <c r="I26" s="57">
        <f t="shared" si="0"/>
        <v>3976.7800000000007</v>
      </c>
      <c r="J26" s="61"/>
      <c r="K26" s="61"/>
    </row>
    <row r="27" spans="2:11" x14ac:dyDescent="0.2">
      <c r="B27" s="58" t="str">
        <f>'Ex 10 Projections'!B14</f>
        <v xml:space="preserve">   Selling, general, and administrative expenses</v>
      </c>
      <c r="D27" s="104">
        <f>'Ex 10 Projections'!D14</f>
        <v>2179.31</v>
      </c>
      <c r="E27" s="104">
        <f>'Ex 10 Projections'!E14</f>
        <v>2189.6</v>
      </c>
      <c r="F27" s="104">
        <f>'Ex 10 Projections'!F14</f>
        <v>2223.6999999999998</v>
      </c>
      <c r="G27" s="104">
        <f>'Ex 10 Projections'!G14</f>
        <v>2395.0500000000002</v>
      </c>
      <c r="H27" s="104">
        <f>'Ex 10 Projections'!H14</f>
        <v>2313.4299999999998</v>
      </c>
      <c r="I27" s="104">
        <f>'Ex 10 Projections'!I14</f>
        <v>2443.7800000000002</v>
      </c>
      <c r="J27" s="61"/>
      <c r="K27" s="61"/>
    </row>
    <row r="28" spans="2:11" x14ac:dyDescent="0.2">
      <c r="B28" s="58" t="str">
        <f>'Ex 10 Projections'!B17</f>
        <v xml:space="preserve">   Depreciation and amortization</v>
      </c>
      <c r="D28" s="105">
        <f>'Ex 10 Projections'!D17</f>
        <v>214.2</v>
      </c>
      <c r="E28" s="105">
        <f>'Ex 10 Projections'!E17</f>
        <v>224.83</v>
      </c>
      <c r="F28" s="105">
        <f>'Ex 10 Projections'!F17</f>
        <v>233.48</v>
      </c>
      <c r="G28" s="105">
        <f>'Ex 10 Projections'!G17</f>
        <v>250.75</v>
      </c>
      <c r="H28" s="105">
        <f>'Ex 10 Projections'!H17</f>
        <v>252.51</v>
      </c>
      <c r="I28" s="105">
        <f>'Ex 10 Projections'!I17</f>
        <v>263.87</v>
      </c>
      <c r="J28" s="61"/>
      <c r="K28" s="61"/>
    </row>
    <row r="29" spans="2:11" ht="13" customHeight="1" x14ac:dyDescent="0.2">
      <c r="B29" s="58" t="str">
        <f>'Ex 10 Projections'!B18</f>
        <v>EBITDA</v>
      </c>
      <c r="D29" s="57">
        <f t="shared" ref="D29:I29" si="1">(D26-D27+D28)</f>
        <v>1712.6299999999999</v>
      </c>
      <c r="E29" s="57">
        <f t="shared" si="1"/>
        <v>1438.4299999999998</v>
      </c>
      <c r="F29" s="57">
        <f t="shared" si="1"/>
        <v>1480.6799999999998</v>
      </c>
      <c r="G29" s="57">
        <f t="shared" si="1"/>
        <v>1476.8300000000008</v>
      </c>
      <c r="H29" s="57">
        <f t="shared" si="1"/>
        <v>1712.61</v>
      </c>
      <c r="I29" s="57">
        <f t="shared" si="1"/>
        <v>1796.8700000000003</v>
      </c>
      <c r="J29" s="61"/>
      <c r="K29" s="61"/>
    </row>
    <row r="30" spans="2:11" ht="13" customHeight="1" x14ac:dyDescent="0.2">
      <c r="B30" s="58" t="s">
        <v>123</v>
      </c>
      <c r="C30" s="126">
        <v>0</v>
      </c>
      <c r="D30" s="57">
        <f t="shared" ref="D30:I30" si="2">D29*(1+$C$30)</f>
        <v>1712.6299999999999</v>
      </c>
      <c r="E30" s="57">
        <f t="shared" si="2"/>
        <v>1438.4299999999998</v>
      </c>
      <c r="F30" s="57">
        <f t="shared" si="2"/>
        <v>1480.6799999999998</v>
      </c>
      <c r="G30" s="57">
        <f t="shared" si="2"/>
        <v>1476.8300000000008</v>
      </c>
      <c r="H30" s="57">
        <f t="shared" si="2"/>
        <v>1712.61</v>
      </c>
      <c r="I30" s="57">
        <f t="shared" si="2"/>
        <v>1796.8700000000003</v>
      </c>
      <c r="J30" s="61"/>
      <c r="K30" s="61"/>
    </row>
    <row r="31" spans="2:11" ht="13" customHeight="1" x14ac:dyDescent="0.2">
      <c r="D31" s="57"/>
      <c r="E31" s="57"/>
      <c r="F31" s="57"/>
      <c r="G31" s="57"/>
      <c r="H31" s="57"/>
      <c r="I31" s="57"/>
      <c r="J31" s="61"/>
      <c r="K31" s="61"/>
    </row>
    <row r="32" spans="2:11" x14ac:dyDescent="0.2">
      <c r="B32" s="58" t="str">
        <f>'Ex 10 Projections'!B15</f>
        <v>Operating income (EBIT)</v>
      </c>
      <c r="D32" s="85">
        <f t="shared" ref="D32:I32" si="3">D30-D28</f>
        <v>1498.4299999999998</v>
      </c>
      <c r="E32" s="85">
        <f t="shared" si="3"/>
        <v>1213.5999999999999</v>
      </c>
      <c r="F32" s="85">
        <f t="shared" si="3"/>
        <v>1247.1999999999998</v>
      </c>
      <c r="G32" s="85">
        <f t="shared" si="3"/>
        <v>1226.0800000000008</v>
      </c>
      <c r="H32" s="85">
        <f t="shared" si="3"/>
        <v>1460.1</v>
      </c>
      <c r="I32" s="85">
        <f t="shared" si="3"/>
        <v>1533.0000000000005</v>
      </c>
      <c r="J32" s="61"/>
      <c r="K32" s="61"/>
    </row>
    <row r="33" spans="2:11" x14ac:dyDescent="0.2">
      <c r="B33" s="58" t="str">
        <f>'Ex 10 Projections'!B22</f>
        <v>CAPEX</v>
      </c>
      <c r="D33" s="104">
        <f>'Ex 10 Projections'!D22</f>
        <v>354.1</v>
      </c>
      <c r="E33" s="104">
        <f>'Ex 10 Projections'!E22</f>
        <v>249.4</v>
      </c>
      <c r="F33" s="104">
        <f>'Ex 10 Projections'!F22</f>
        <v>262.31</v>
      </c>
      <c r="G33" s="104">
        <f>'Ex 10 Projections'!G22</f>
        <v>263.81</v>
      </c>
      <c r="H33" s="104">
        <f>'Ex 10 Projections'!H22</f>
        <v>320.49</v>
      </c>
      <c r="I33" s="104">
        <f>'Ex 10 Projections'!I22</f>
        <v>345.07</v>
      </c>
      <c r="J33" s="61"/>
      <c r="K33" s="61"/>
    </row>
    <row r="34" spans="2:11" x14ac:dyDescent="0.2">
      <c r="B34" s="59" t="str">
        <f>'Ex 10 Projections'!B23</f>
        <v>Change in net working capital (NWC)</v>
      </c>
      <c r="C34" s="59"/>
      <c r="D34" s="105">
        <f>'Ex 10 Projections'!D23</f>
        <v>-152.6</v>
      </c>
      <c r="E34" s="105">
        <f>'Ex 10 Projections'!E23</f>
        <v>227.87</v>
      </c>
      <c r="F34" s="105">
        <f>'Ex 10 Projections'!F23</f>
        <v>6.07</v>
      </c>
      <c r="G34" s="105">
        <f>'Ex 10 Projections'!G23</f>
        <v>22.91</v>
      </c>
      <c r="H34" s="105">
        <f>'Ex 10 Projections'!H23</f>
        <v>23.63</v>
      </c>
      <c r="I34" s="105">
        <f>'Ex 10 Projections'!I23</f>
        <v>29.72</v>
      </c>
    </row>
    <row r="35" spans="2:11" x14ac:dyDescent="0.2">
      <c r="E35" s="64"/>
      <c r="F35" s="64"/>
      <c r="G35" s="64"/>
      <c r="H35" s="64"/>
      <c r="I35" s="64"/>
    </row>
    <row r="36" spans="2:11" ht="16" thickBot="1" x14ac:dyDescent="0.25">
      <c r="B36" s="58" t="s">
        <v>5</v>
      </c>
      <c r="E36" s="106">
        <f>E32*(1-$D$8)+E28-E33-E34</f>
        <v>682.03199999999993</v>
      </c>
      <c r="F36" s="106">
        <f>F32*(1-$D$8)+F28-F33-F34</f>
        <v>925.44399999999985</v>
      </c>
      <c r="G36" s="106">
        <f>G32*(1-$D$8)+G28-G33-G34</f>
        <v>908.11160000000075</v>
      </c>
      <c r="H36" s="106">
        <f>H32*(1-$D$8)+H28-H33-H34</f>
        <v>1032.6669999999999</v>
      </c>
      <c r="I36" s="106">
        <f>I32*(1-$D$8)+I28-I33-I34</f>
        <v>1069.4900000000002</v>
      </c>
    </row>
    <row r="37" spans="2:11" ht="16" thickTop="1" x14ac:dyDescent="0.2">
      <c r="B37" s="58" t="s">
        <v>137</v>
      </c>
      <c r="E37" s="131">
        <f>E13</f>
        <v>3596.0750000000003</v>
      </c>
      <c r="F37" s="131">
        <f>E37-E38</f>
        <v>3416.2712500000002</v>
      </c>
      <c r="G37" s="131">
        <f>F37-F38</f>
        <v>3236.4675000000002</v>
      </c>
      <c r="H37" s="131">
        <f>G37-G38</f>
        <v>3056.6637500000002</v>
      </c>
      <c r="I37" s="131">
        <f>H37-H38</f>
        <v>2876.86</v>
      </c>
    </row>
    <row r="38" spans="2:11" x14ac:dyDescent="0.2">
      <c r="B38" s="58" t="s">
        <v>141</v>
      </c>
      <c r="E38" s="131">
        <f>$J$16*$E$37</f>
        <v>179.80375000000004</v>
      </c>
      <c r="F38" s="131">
        <f>$J$16*$E$37</f>
        <v>179.80375000000004</v>
      </c>
      <c r="G38" s="131">
        <f>$J$16*$E$37</f>
        <v>179.80375000000004</v>
      </c>
      <c r="H38" s="131">
        <f>$J$16*$E$37</f>
        <v>179.80375000000004</v>
      </c>
      <c r="I38" s="131">
        <f>$J$16*$E$37</f>
        <v>179.80375000000004</v>
      </c>
    </row>
    <row r="39" spans="2:11" x14ac:dyDescent="0.2">
      <c r="B39" s="58" t="s">
        <v>126</v>
      </c>
      <c r="E39" s="131">
        <f>$F$13*E37</f>
        <v>197.78412500000002</v>
      </c>
      <c r="F39" s="131">
        <f>$F$13*F37</f>
        <v>187.89491875000002</v>
      </c>
      <c r="G39" s="131">
        <f>$F$13*G37</f>
        <v>178.00571250000002</v>
      </c>
      <c r="H39" s="131">
        <f>$F$13*H37</f>
        <v>168.11650625000001</v>
      </c>
      <c r="I39" s="131">
        <f>$F$13*I37</f>
        <v>158.22730000000001</v>
      </c>
    </row>
    <row r="40" spans="2:11" x14ac:dyDescent="0.2">
      <c r="E40" s="131"/>
      <c r="F40" s="131"/>
      <c r="G40" s="131"/>
      <c r="H40" s="131"/>
      <c r="I40" s="131"/>
    </row>
    <row r="41" spans="2:11" x14ac:dyDescent="0.2">
      <c r="B41" s="58" t="s">
        <v>128</v>
      </c>
      <c r="E41" s="131">
        <f>E38+E39</f>
        <v>377.58787500000005</v>
      </c>
      <c r="F41" s="131">
        <f>F38+F39</f>
        <v>367.69866875000002</v>
      </c>
      <c r="G41" s="131">
        <f>G38+G39</f>
        <v>357.80946250000005</v>
      </c>
      <c r="H41" s="131">
        <f>H38+H39</f>
        <v>347.92025625000008</v>
      </c>
      <c r="I41" s="131">
        <f>I38+I39</f>
        <v>338.03105000000005</v>
      </c>
    </row>
    <row r="42" spans="2:11" x14ac:dyDescent="0.2">
      <c r="B42" s="58" t="s">
        <v>129</v>
      </c>
      <c r="E42" s="131">
        <f>E39*$D$8</f>
        <v>45.490348750000003</v>
      </c>
      <c r="F42" s="131">
        <f>F39*$D$8</f>
        <v>43.215831312500008</v>
      </c>
      <c r="G42" s="131">
        <f>G39*$D$8</f>
        <v>40.941313875000006</v>
      </c>
      <c r="H42" s="131">
        <f>H39*$D$8</f>
        <v>38.666796437500004</v>
      </c>
      <c r="I42" s="131">
        <f>I39*$D$8</f>
        <v>36.392279000000002</v>
      </c>
    </row>
    <row r="43" spans="2:11" x14ac:dyDescent="0.2">
      <c r="B43" s="59" t="s">
        <v>130</v>
      </c>
      <c r="C43" s="59"/>
      <c r="D43" s="59"/>
      <c r="E43" s="137">
        <f>E36-E41+E42</f>
        <v>349.93447374999988</v>
      </c>
      <c r="F43" s="137">
        <f>F36-F41+F42</f>
        <v>600.96116256249979</v>
      </c>
      <c r="G43" s="137">
        <f>G36-G41+G42</f>
        <v>591.24345137500075</v>
      </c>
      <c r="H43" s="137">
        <f>H36-H41+H42</f>
        <v>723.41354018749985</v>
      </c>
      <c r="I43" s="137">
        <f>I36-I41+I42</f>
        <v>767.85122900000022</v>
      </c>
    </row>
    <row r="44" spans="2:11" x14ac:dyDescent="0.2">
      <c r="B44" s="63" t="s">
        <v>131</v>
      </c>
      <c r="C44" s="63"/>
      <c r="D44" s="63"/>
      <c r="E44" s="136">
        <f>(E41+E43)/E41</f>
        <v>1.926763005168002</v>
      </c>
      <c r="F44" s="134">
        <f>(F41+F43)/F41</f>
        <v>2.6343849288480725</v>
      </c>
      <c r="G44" s="134">
        <f>(G41+G43)/G41</f>
        <v>2.6523974722300716</v>
      </c>
      <c r="H44" s="134">
        <f>(H41+H43)/H41</f>
        <v>3.0792509984462848</v>
      </c>
      <c r="I44" s="134">
        <f>(I41+I43)/I41</f>
        <v>3.2715405256410621</v>
      </c>
    </row>
    <row r="45" spans="2:11" x14ac:dyDescent="0.2">
      <c r="E45" s="133"/>
      <c r="F45" s="131"/>
      <c r="G45" s="131"/>
      <c r="H45" s="131"/>
      <c r="I45" s="131"/>
    </row>
    <row r="46" spans="2:11" x14ac:dyDescent="0.2">
      <c r="B46" s="58" t="s">
        <v>4</v>
      </c>
      <c r="E46" s="133"/>
      <c r="F46" s="131"/>
      <c r="G46" s="131"/>
      <c r="H46" s="131"/>
      <c r="I46" s="131"/>
    </row>
    <row r="47" spans="2:11" x14ac:dyDescent="0.2">
      <c r="B47" s="58" t="s">
        <v>5</v>
      </c>
      <c r="E47" s="133">
        <f>E43</f>
        <v>349.93447374999988</v>
      </c>
      <c r="F47" s="133">
        <f>F43</f>
        <v>600.96116256249979</v>
      </c>
      <c r="G47" s="133">
        <f>G43</f>
        <v>591.24345137500075</v>
      </c>
      <c r="H47" s="133">
        <f>H43</f>
        <v>723.41354018749985</v>
      </c>
      <c r="I47" s="133">
        <f>I43</f>
        <v>767.85122900000022</v>
      </c>
    </row>
    <row r="48" spans="2:11" x14ac:dyDescent="0.2">
      <c r="B48" s="58" t="s">
        <v>132</v>
      </c>
      <c r="E48" s="133"/>
      <c r="F48" s="131"/>
      <c r="G48" s="131"/>
      <c r="H48" s="131"/>
      <c r="I48" s="131"/>
    </row>
    <row r="49" spans="2:9" x14ac:dyDescent="0.2">
      <c r="B49" s="58" t="s">
        <v>126</v>
      </c>
      <c r="E49" s="133">
        <f>$F$14*$E$14</f>
        <v>107.88225</v>
      </c>
      <c r="F49" s="133">
        <f>$F$14*$E$14</f>
        <v>107.88225</v>
      </c>
      <c r="G49" s="133">
        <f>$F$14*$E$14</f>
        <v>107.88225</v>
      </c>
      <c r="H49" s="133">
        <f>$F$14*$E$14</f>
        <v>107.88225</v>
      </c>
      <c r="I49" s="133">
        <f>$F$14*$E$14</f>
        <v>107.88225</v>
      </c>
    </row>
    <row r="50" spans="2:9" x14ac:dyDescent="0.2">
      <c r="E50" s="131"/>
      <c r="F50" s="131"/>
      <c r="G50" s="131"/>
      <c r="H50" s="131"/>
      <c r="I50" s="131"/>
    </row>
    <row r="51" spans="2:9" x14ac:dyDescent="0.2">
      <c r="B51" s="58" t="s">
        <v>128</v>
      </c>
      <c r="E51" s="131">
        <f>E49</f>
        <v>107.88225</v>
      </c>
      <c r="F51" s="131">
        <f>F49</f>
        <v>107.88225</v>
      </c>
      <c r="G51" s="131">
        <f>G49</f>
        <v>107.88225</v>
      </c>
      <c r="H51" s="131">
        <f>H49</f>
        <v>107.88225</v>
      </c>
      <c r="I51" s="131">
        <f>I49</f>
        <v>107.88225</v>
      </c>
    </row>
    <row r="52" spans="2:9" x14ac:dyDescent="0.2">
      <c r="B52" s="58" t="s">
        <v>125</v>
      </c>
      <c r="E52" s="131">
        <f>E49*$D$8</f>
        <v>24.812917500000001</v>
      </c>
      <c r="F52" s="131">
        <f>F49*$D$8</f>
        <v>24.812917500000001</v>
      </c>
      <c r="G52" s="131">
        <f>G49*$D$8</f>
        <v>24.812917500000001</v>
      </c>
      <c r="H52" s="131">
        <f>H49*$D$8</f>
        <v>24.812917500000001</v>
      </c>
      <c r="I52" s="131">
        <f>I49*$D$8</f>
        <v>24.812917500000001</v>
      </c>
    </row>
    <row r="53" spans="2:9" x14ac:dyDescent="0.2">
      <c r="B53" s="59" t="s">
        <v>134</v>
      </c>
      <c r="C53" s="59"/>
      <c r="D53" s="59"/>
      <c r="E53" s="137">
        <f>E47-E51+E52</f>
        <v>266.86514124999991</v>
      </c>
      <c r="F53" s="137">
        <f>F47-F51+F52</f>
        <v>517.89183006249982</v>
      </c>
      <c r="G53" s="137">
        <f>G47-G51+G52</f>
        <v>508.17411887500077</v>
      </c>
      <c r="H53" s="137">
        <f>H47-H51+H52</f>
        <v>640.34420768749987</v>
      </c>
      <c r="I53" s="137">
        <f>I47-I51+I52</f>
        <v>684.78189650000024</v>
      </c>
    </row>
    <row r="54" spans="2:9" x14ac:dyDescent="0.2">
      <c r="B54" s="135" t="s">
        <v>131</v>
      </c>
      <c r="C54" s="135"/>
      <c r="D54" s="135"/>
      <c r="E54" s="138">
        <f>(E51+E53)/E51</f>
        <v>3.473670518088007</v>
      </c>
      <c r="F54" s="138">
        <f>(F51+F53)/F51</f>
        <v>5.800528632490515</v>
      </c>
      <c r="G54" s="138">
        <f>(G51+G53)/G51</f>
        <v>5.7104516162297392</v>
      </c>
      <c r="H54" s="138">
        <f>(H51+H53)/H51</f>
        <v>6.9355844699892693</v>
      </c>
      <c r="I54" s="138">
        <f>(I51+I53)/I51</f>
        <v>7.3474936470086618</v>
      </c>
    </row>
    <row r="55" spans="2:9" x14ac:dyDescent="0.2">
      <c r="B55" s="63"/>
      <c r="C55" s="63"/>
      <c r="D55" s="63"/>
      <c r="E55" s="131"/>
      <c r="F55" s="131"/>
      <c r="G55" s="131"/>
      <c r="H55" s="131"/>
      <c r="I55" s="131"/>
    </row>
    <row r="56" spans="2:9" x14ac:dyDescent="0.2">
      <c r="B56" s="63" t="s">
        <v>75</v>
      </c>
      <c r="C56" s="63"/>
      <c r="D56" s="63"/>
      <c r="E56" s="131">
        <f>E53</f>
        <v>266.86514124999991</v>
      </c>
      <c r="F56" s="131">
        <f>F53</f>
        <v>517.89183006249982</v>
      </c>
      <c r="G56" s="131">
        <f>G53</f>
        <v>508.17411887500077</v>
      </c>
      <c r="H56" s="131">
        <f>H53</f>
        <v>640.34420768749987</v>
      </c>
      <c r="I56" s="131">
        <f>I53</f>
        <v>684.78189650000024</v>
      </c>
    </row>
    <row r="57" spans="2:9" x14ac:dyDescent="0.2">
      <c r="B57" s="63" t="s">
        <v>126</v>
      </c>
      <c r="C57" s="63"/>
      <c r="D57" s="63"/>
      <c r="E57" s="131">
        <f>$F$15*$E$15</f>
        <v>316.45460000000003</v>
      </c>
      <c r="F57" s="131">
        <f>$F$15*$E$15</f>
        <v>316.45460000000003</v>
      </c>
      <c r="G57" s="131">
        <f>$F$15*$E$15</f>
        <v>316.45460000000003</v>
      </c>
      <c r="H57" s="131">
        <f>$F$15*$E$15</f>
        <v>316.45460000000003</v>
      </c>
      <c r="I57" s="131">
        <f>$F$15*$E$15</f>
        <v>316.45460000000003</v>
      </c>
    </row>
    <row r="58" spans="2:9" x14ac:dyDescent="0.2">
      <c r="B58" s="63" t="s">
        <v>128</v>
      </c>
      <c r="C58" s="63"/>
      <c r="D58" s="63"/>
      <c r="E58" s="131">
        <f>E57</f>
        <v>316.45460000000003</v>
      </c>
      <c r="F58" s="131">
        <f>F57</f>
        <v>316.45460000000003</v>
      </c>
      <c r="G58" s="131">
        <f>G57</f>
        <v>316.45460000000003</v>
      </c>
      <c r="H58" s="131">
        <f>H57</f>
        <v>316.45460000000003</v>
      </c>
      <c r="I58" s="131">
        <f>I57</f>
        <v>316.45460000000003</v>
      </c>
    </row>
    <row r="59" spans="2:9" x14ac:dyDescent="0.2">
      <c r="B59" s="63" t="s">
        <v>125</v>
      </c>
      <c r="C59" s="63"/>
      <c r="D59" s="63"/>
      <c r="E59" s="131">
        <f>E58*$D$8</f>
        <v>72.784558000000004</v>
      </c>
      <c r="F59" s="131">
        <f>F58*$D$8</f>
        <v>72.784558000000004</v>
      </c>
      <c r="G59" s="131">
        <f>G58*$D$8</f>
        <v>72.784558000000004</v>
      </c>
      <c r="H59" s="131">
        <f>H58*$D$8</f>
        <v>72.784558000000004</v>
      </c>
      <c r="I59" s="131">
        <f>I58*$D$8</f>
        <v>72.784558000000004</v>
      </c>
    </row>
    <row r="60" spans="2:9" x14ac:dyDescent="0.2">
      <c r="B60" s="62" t="s">
        <v>134</v>
      </c>
      <c r="C60" s="62"/>
      <c r="D60" s="62"/>
      <c r="E60" s="137">
        <f>E56-E58+E59</f>
        <v>23.195099249999885</v>
      </c>
      <c r="F60" s="137">
        <f>F56-F58+F59</f>
        <v>274.2217880624998</v>
      </c>
      <c r="G60" s="137">
        <f>G56-G58+G59</f>
        <v>264.50407687500075</v>
      </c>
      <c r="H60" s="137">
        <f>H56-H58+H59</f>
        <v>396.67416568749985</v>
      </c>
      <c r="I60" s="137">
        <f>I56-I58+I59</f>
        <v>441.11185450000022</v>
      </c>
    </row>
    <row r="61" spans="2:9" x14ac:dyDescent="0.2">
      <c r="B61" s="63" t="s">
        <v>131</v>
      </c>
      <c r="C61" s="63"/>
      <c r="D61" s="63"/>
      <c r="E61" s="133">
        <f>(E60+E58)/E58</f>
        <v>1.0732967675300022</v>
      </c>
      <c r="F61" s="133">
        <f>(F60+F58)/F58</f>
        <v>1.8665438519854027</v>
      </c>
      <c r="G61" s="133">
        <f>(G60+G58)/G58</f>
        <v>1.835835778260138</v>
      </c>
      <c r="H61" s="133">
        <f>(H60+H58)/H58</f>
        <v>2.2534947056781602</v>
      </c>
      <c r="I61" s="133">
        <f>(I60+I58)/I58</f>
        <v>2.3939182887529524</v>
      </c>
    </row>
    <row r="62" spans="2:9" x14ac:dyDescent="0.2">
      <c r="B62" s="63"/>
      <c r="C62" s="63"/>
      <c r="D62" s="63"/>
      <c r="E62" s="63"/>
      <c r="F62" s="63"/>
      <c r="G62" s="63"/>
      <c r="H62" s="63"/>
      <c r="I62" s="63"/>
    </row>
    <row r="63" spans="2:9" ht="9" customHeight="1" x14ac:dyDescent="0.2">
      <c r="E63" s="64"/>
      <c r="F63" s="64"/>
      <c r="G63" s="64"/>
      <c r="H63" s="64"/>
      <c r="I63" s="64"/>
    </row>
    <row r="64" spans="2:9" ht="9" customHeight="1" x14ac:dyDescent="0.2">
      <c r="E64" s="64"/>
      <c r="F64" s="64"/>
      <c r="G64" s="64"/>
      <c r="H64" s="64"/>
      <c r="I64" s="64"/>
    </row>
    <row r="65" spans="2:9" x14ac:dyDescent="0.2">
      <c r="B65" s="63" t="s">
        <v>80</v>
      </c>
      <c r="E65" s="64"/>
      <c r="F65" s="64"/>
      <c r="G65" s="64"/>
      <c r="H65" s="64"/>
      <c r="I65" s="64"/>
    </row>
    <row r="66" spans="2:9" x14ac:dyDescent="0.2">
      <c r="B66" s="87" t="s">
        <v>3</v>
      </c>
      <c r="E66" s="64"/>
      <c r="F66" s="64"/>
      <c r="G66" s="64"/>
      <c r="H66" s="64"/>
      <c r="I66" s="64"/>
    </row>
    <row r="67" spans="2:9" x14ac:dyDescent="0.2">
      <c r="B67" s="58" t="s">
        <v>81</v>
      </c>
      <c r="E67" s="64">
        <f>E13</f>
        <v>3596.0750000000003</v>
      </c>
      <c r="F67" s="64">
        <f>E72</f>
        <v>3416.2712500000002</v>
      </c>
      <c r="G67" s="64">
        <f>F72</f>
        <v>2953.6208856575004</v>
      </c>
      <c r="H67" s="64">
        <f>G72</f>
        <v>2493.4105826994946</v>
      </c>
      <c r="I67" s="64">
        <f>H72</f>
        <v>1893.9498958119063</v>
      </c>
    </row>
    <row r="68" spans="2:9" x14ac:dyDescent="0.2">
      <c r="B68" s="58" t="s">
        <v>6</v>
      </c>
      <c r="E68" s="100">
        <f>E67*$F$13</f>
        <v>197.78412500000002</v>
      </c>
      <c r="F68" s="100">
        <f>F67*$F$13</f>
        <v>187.89491875000002</v>
      </c>
      <c r="G68" s="100">
        <f>G67*$F$13</f>
        <v>162.44914871116251</v>
      </c>
      <c r="H68" s="100">
        <f>H67*$F$13</f>
        <v>137.13758204847221</v>
      </c>
      <c r="I68" s="100">
        <f>I67*$F$13</f>
        <v>104.16724426965484</v>
      </c>
    </row>
    <row r="69" spans="2:9" x14ac:dyDescent="0.2">
      <c r="B69" s="58" t="s">
        <v>7</v>
      </c>
      <c r="E69" s="100">
        <f>IF(E67&gt;E90, E90, E67)</f>
        <v>216.23240524999989</v>
      </c>
      <c r="F69" s="100">
        <f>IF(F67&gt;F90, F90, F67)</f>
        <v>462.65036434249981</v>
      </c>
      <c r="G69" s="100">
        <f>IF(G67&gt;G90, G90, G67)</f>
        <v>460.21030295800563</v>
      </c>
      <c r="H69" s="100">
        <f>IF(H67&gt;H90, H90, H67)</f>
        <v>599.46068688758828</v>
      </c>
      <c r="I69" s="100">
        <f>IF(I67&gt;I90, I90, I67)</f>
        <v>656.78002612857631</v>
      </c>
    </row>
    <row r="70" spans="2:9" x14ac:dyDescent="0.2">
      <c r="B70" s="58" t="s">
        <v>140</v>
      </c>
      <c r="E70" s="100">
        <f>$J$16*$E$13</f>
        <v>179.80375000000004</v>
      </c>
      <c r="F70" s="100">
        <f>$J$16*$E$13</f>
        <v>179.80375000000004</v>
      </c>
      <c r="G70" s="100">
        <f>$J$16*$E$13</f>
        <v>179.80375000000004</v>
      </c>
      <c r="H70" s="100">
        <f>$J$16*$E$13</f>
        <v>179.80375000000004</v>
      </c>
      <c r="I70" s="100">
        <f>$J$16*$E$13</f>
        <v>179.80375000000004</v>
      </c>
    </row>
    <row r="71" spans="2:9" x14ac:dyDescent="0.2">
      <c r="B71" s="58" t="s">
        <v>139</v>
      </c>
      <c r="E71" s="100">
        <f>IF(E69&gt;288, E69-288, 0)</f>
        <v>0</v>
      </c>
      <c r="F71" s="100">
        <f>IF(F69&gt;288, F69-288, 0)</f>
        <v>174.65036434249981</v>
      </c>
      <c r="G71" s="100">
        <f>IF(G69&gt;288, G69-288, 0)</f>
        <v>172.21030295800563</v>
      </c>
      <c r="H71" s="100">
        <f>IF(H69&gt;288, H69-288, 0)</f>
        <v>311.46068688758828</v>
      </c>
      <c r="I71" s="100">
        <f>IF(I69&gt;288, I69-288, 0)</f>
        <v>368.78002612857631</v>
      </c>
    </row>
    <row r="72" spans="2:9" x14ac:dyDescent="0.2">
      <c r="B72" s="58" t="s">
        <v>82</v>
      </c>
      <c r="E72" s="64">
        <f>E67-(E70+E71)</f>
        <v>3416.2712500000002</v>
      </c>
      <c r="F72" s="64">
        <f>F67-F69</f>
        <v>2953.6208856575004</v>
      </c>
      <c r="G72" s="64">
        <f>G67-G69</f>
        <v>2493.4105826994946</v>
      </c>
      <c r="H72" s="64">
        <f>H67-H69</f>
        <v>1893.9498958119063</v>
      </c>
      <c r="I72" s="64">
        <f>I67-I69</f>
        <v>1237.16986968333</v>
      </c>
    </row>
    <row r="73" spans="2:9" x14ac:dyDescent="0.2">
      <c r="E73" s="86"/>
      <c r="F73" s="86"/>
      <c r="G73" s="86"/>
      <c r="H73" s="86"/>
      <c r="I73" s="86"/>
    </row>
    <row r="74" spans="2:9" x14ac:dyDescent="0.2">
      <c r="B74" s="87" t="s">
        <v>4</v>
      </c>
      <c r="E74" s="64"/>
      <c r="F74" s="64"/>
      <c r="G74" s="64"/>
      <c r="H74" s="64"/>
      <c r="I74" s="64"/>
    </row>
    <row r="75" spans="2:9" x14ac:dyDescent="0.2">
      <c r="B75" s="58" t="s">
        <v>83</v>
      </c>
      <c r="E75" s="64">
        <f>E14</f>
        <v>1438.43</v>
      </c>
      <c r="F75" s="64">
        <f>E78</f>
        <v>1438.43</v>
      </c>
      <c r="G75" s="64">
        <f>F78</f>
        <v>1438.43</v>
      </c>
      <c r="H75" s="64">
        <f>G78</f>
        <v>1438.43</v>
      </c>
      <c r="I75" s="64">
        <f>H78</f>
        <v>1438.43</v>
      </c>
    </row>
    <row r="76" spans="2:9" x14ac:dyDescent="0.2">
      <c r="B76" s="58" t="s">
        <v>6</v>
      </c>
      <c r="E76" s="100">
        <f>E75*$F$14</f>
        <v>107.88225</v>
      </c>
      <c r="F76" s="100">
        <f>F75*$F$14</f>
        <v>107.88225</v>
      </c>
      <c r="G76" s="100">
        <f>G75*$F$14</f>
        <v>107.88225</v>
      </c>
      <c r="H76" s="100">
        <f>H75*$F$14</f>
        <v>107.88225</v>
      </c>
      <c r="I76" s="100">
        <f>I75*$F$14</f>
        <v>107.88225</v>
      </c>
    </row>
    <row r="77" spans="2:9" x14ac:dyDescent="0.2">
      <c r="B77" s="58" t="s">
        <v>7</v>
      </c>
      <c r="E77" s="100">
        <f>E69-E90</f>
        <v>0</v>
      </c>
      <c r="F77" s="100">
        <f>F69-F90</f>
        <v>0</v>
      </c>
      <c r="G77" s="100">
        <f>G69-G90</f>
        <v>0</v>
      </c>
      <c r="H77" s="100">
        <f>H69-H90</f>
        <v>0</v>
      </c>
      <c r="I77" s="100">
        <f>I69-I90</f>
        <v>0</v>
      </c>
    </row>
    <row r="78" spans="2:9" x14ac:dyDescent="0.2">
      <c r="B78" s="58" t="s">
        <v>8</v>
      </c>
      <c r="E78" s="64">
        <f>E75-E77</f>
        <v>1438.43</v>
      </c>
      <c r="F78" s="64">
        <f>F75-F77</f>
        <v>1438.43</v>
      </c>
      <c r="G78" s="64">
        <f>G75-G77</f>
        <v>1438.43</v>
      </c>
      <c r="H78" s="64">
        <f>H75-H77</f>
        <v>1438.43</v>
      </c>
      <c r="I78" s="64">
        <f>I75-I77</f>
        <v>1438.43</v>
      </c>
    </row>
    <row r="80" spans="2:9" x14ac:dyDescent="0.2">
      <c r="B80" s="58" t="s">
        <v>103</v>
      </c>
      <c r="E80" s="105">
        <f>E36-E68-E76</f>
        <v>376.36562499999991</v>
      </c>
      <c r="F80" s="105">
        <f>F36-F68-F76</f>
        <v>629.66683124999986</v>
      </c>
      <c r="G80" s="105">
        <f>G36-G68-G76</f>
        <v>637.78020128883827</v>
      </c>
      <c r="H80" s="105">
        <f>H36-H68-H76</f>
        <v>787.64716795152765</v>
      </c>
      <c r="I80" s="105">
        <f>I36-I68-I76</f>
        <v>857.44050573034542</v>
      </c>
    </row>
    <row r="81" spans="2:9" x14ac:dyDescent="0.2">
      <c r="B81"/>
      <c r="E81" s="64"/>
      <c r="F81" s="64"/>
      <c r="G81" s="64"/>
      <c r="H81" s="64"/>
      <c r="I81" s="64"/>
    </row>
    <row r="82" spans="2:9" x14ac:dyDescent="0.2">
      <c r="B82" s="87" t="s">
        <v>75</v>
      </c>
      <c r="E82" s="64"/>
      <c r="F82" s="64"/>
      <c r="G82" s="64"/>
      <c r="H82" s="64"/>
      <c r="I82" s="64"/>
    </row>
    <row r="83" spans="2:9" x14ac:dyDescent="0.2">
      <c r="B83" s="58" t="s">
        <v>83</v>
      </c>
      <c r="E83" s="64">
        <f>E15</f>
        <v>2876.86</v>
      </c>
      <c r="F83" s="64">
        <f>E86</f>
        <v>2934.3972000000003</v>
      </c>
      <c r="G83" s="64">
        <f>F86</f>
        <v>2993.0851440000001</v>
      </c>
      <c r="H83" s="64">
        <f>G86</f>
        <v>3052.9468468800001</v>
      </c>
      <c r="I83" s="64">
        <f>H86</f>
        <v>3114.0057838175999</v>
      </c>
    </row>
    <row r="84" spans="2:9" x14ac:dyDescent="0.2">
      <c r="B84" s="58" t="s">
        <v>6</v>
      </c>
      <c r="E84" s="100">
        <f>E83*$F$15</f>
        <v>316.45460000000003</v>
      </c>
      <c r="F84" s="100">
        <f>F83*$F$15</f>
        <v>322.78369200000003</v>
      </c>
      <c r="G84" s="100">
        <f>G83*$F$15</f>
        <v>329.23936584</v>
      </c>
      <c r="H84" s="100">
        <f>H83*$F$15</f>
        <v>335.82415315680004</v>
      </c>
      <c r="I84" s="100">
        <f>I83*$F$15</f>
        <v>342.540636219936</v>
      </c>
    </row>
    <row r="85" spans="2:9" x14ac:dyDescent="0.2">
      <c r="B85" s="58" t="s">
        <v>33</v>
      </c>
      <c r="E85" s="100">
        <f>E83*$G$15</f>
        <v>57.537200000000006</v>
      </c>
      <c r="F85" s="100">
        <f>F83*$G$15</f>
        <v>58.687944000000009</v>
      </c>
      <c r="G85" s="100">
        <f>G83*$G$15</f>
        <v>59.861702880000003</v>
      </c>
      <c r="H85" s="100">
        <f>H83*$G$15</f>
        <v>61.058936937600002</v>
      </c>
      <c r="I85" s="100">
        <f>I83*$G$15</f>
        <v>62.280115676351997</v>
      </c>
    </row>
    <row r="86" spans="2:9" x14ac:dyDescent="0.2">
      <c r="B86" s="58" t="s">
        <v>8</v>
      </c>
      <c r="E86" s="64">
        <f>E83+E85</f>
        <v>2934.3972000000003</v>
      </c>
      <c r="F86" s="64">
        <f>F83+F85</f>
        <v>2993.0851440000001</v>
      </c>
      <c r="G86" s="64">
        <f>G83+G85</f>
        <v>3052.9468468800001</v>
      </c>
      <c r="H86" s="64">
        <f>H83+H85</f>
        <v>3114.0057838175999</v>
      </c>
      <c r="I86" s="64">
        <f>I83+I85</f>
        <v>3176.285899493952</v>
      </c>
    </row>
    <row r="87" spans="2:9" x14ac:dyDescent="0.2">
      <c r="E87" s="107"/>
      <c r="F87" s="107"/>
      <c r="G87" s="107"/>
      <c r="H87" s="107"/>
      <c r="I87" s="107"/>
    </row>
    <row r="88" spans="2:9" x14ac:dyDescent="0.2">
      <c r="B88" s="58" t="s">
        <v>84</v>
      </c>
      <c r="E88" s="100">
        <f>E68+E76+E84</f>
        <v>622.12097500000004</v>
      </c>
      <c r="F88" s="100">
        <f>F68+F76+F84</f>
        <v>618.56086075000007</v>
      </c>
      <c r="G88" s="100">
        <f>G68+G76+G84</f>
        <v>599.57076455116248</v>
      </c>
      <c r="H88" s="100">
        <f>H68+H76+H84</f>
        <v>580.84398520527225</v>
      </c>
      <c r="I88" s="100">
        <f>I68+I76+I84</f>
        <v>554.59013048959082</v>
      </c>
    </row>
    <row r="89" spans="2:9" x14ac:dyDescent="0.2">
      <c r="B89" s="58" t="s">
        <v>85</v>
      </c>
      <c r="E89" s="100">
        <f>(E88+E85)*$D$8</f>
        <v>156.32138025</v>
      </c>
      <c r="F89" s="100">
        <f>(F88+F85)*$D$8</f>
        <v>155.76722509250004</v>
      </c>
      <c r="G89" s="100">
        <f>(G88+G85)*$D$8</f>
        <v>151.66946750916739</v>
      </c>
      <c r="H89" s="100">
        <f>(H88+H85)*$D$8</f>
        <v>147.63767209286064</v>
      </c>
      <c r="I89" s="100">
        <f>(I88+I85)*$D$8</f>
        <v>141.88015661816686</v>
      </c>
    </row>
    <row r="90" spans="2:9" x14ac:dyDescent="0.2">
      <c r="B90" s="58" t="s">
        <v>86</v>
      </c>
      <c r="E90" s="100">
        <f>E36-E88+E89</f>
        <v>216.23240524999989</v>
      </c>
      <c r="F90" s="100">
        <f>F36-F88+F89</f>
        <v>462.65036434249981</v>
      </c>
      <c r="G90" s="100">
        <f>G36-G88+G89</f>
        <v>460.21030295800563</v>
      </c>
      <c r="H90" s="100">
        <f>H36-H88+H89</f>
        <v>599.46068688758828</v>
      </c>
      <c r="I90" s="100">
        <f>I36-I88+I89</f>
        <v>656.78002612857631</v>
      </c>
    </row>
    <row r="91" spans="2:9" x14ac:dyDescent="0.2">
      <c r="B91" s="58" t="s">
        <v>87</v>
      </c>
      <c r="E91" s="100">
        <f>E72+E78+E86</f>
        <v>7789.0984500000004</v>
      </c>
      <c r="F91" s="100">
        <f>F72+F78+F86</f>
        <v>7385.1360296575003</v>
      </c>
      <c r="G91" s="100">
        <f>G72+G78+G86</f>
        <v>6984.7874295794954</v>
      </c>
      <c r="H91" s="100">
        <f>H72+H78+H86</f>
        <v>6446.3856796295058</v>
      </c>
      <c r="I91" s="100">
        <f>I72+I78+I86</f>
        <v>5851.8857691772828</v>
      </c>
    </row>
    <row r="92" spans="2:9" x14ac:dyDescent="0.2">
      <c r="E92" s="64"/>
      <c r="F92" s="64"/>
      <c r="G92" s="64"/>
      <c r="H92" s="64"/>
      <c r="I92" s="64"/>
    </row>
    <row r="93" spans="2:9" x14ac:dyDescent="0.2">
      <c r="B93" s="58" t="s">
        <v>100</v>
      </c>
      <c r="E93" s="100">
        <f>D9</f>
        <v>0</v>
      </c>
      <c r="F93" s="100">
        <f>E95</f>
        <v>0</v>
      </c>
      <c r="G93" s="100">
        <f>F95</f>
        <v>0</v>
      </c>
      <c r="H93" s="100">
        <f>G95</f>
        <v>0</v>
      </c>
      <c r="I93" s="100">
        <f>H95</f>
        <v>0</v>
      </c>
    </row>
    <row r="94" spans="2:9" x14ac:dyDescent="0.2">
      <c r="B94" s="58" t="s">
        <v>101</v>
      </c>
      <c r="E94" s="100">
        <f>E36-E88-E69+E89</f>
        <v>0</v>
      </c>
      <c r="F94" s="100">
        <f>F36-F88-F69+F89</f>
        <v>0</v>
      </c>
      <c r="G94" s="100">
        <f>G36-G88-G69+G89</f>
        <v>0</v>
      </c>
      <c r="H94" s="100">
        <f>H36-H88-H69+H89</f>
        <v>0</v>
      </c>
      <c r="I94" s="100">
        <f>I36-I88-I69+I89</f>
        <v>0</v>
      </c>
    </row>
    <row r="95" spans="2:9" ht="16" thickBot="1" x14ac:dyDescent="0.25">
      <c r="B95" s="65" t="s">
        <v>102</v>
      </c>
      <c r="C95" s="65"/>
      <c r="D95" s="65"/>
      <c r="E95" s="119">
        <f>E93+E94</f>
        <v>0</v>
      </c>
      <c r="F95" s="119">
        <f>F93+F94</f>
        <v>0</v>
      </c>
      <c r="G95" s="119">
        <f>G93+G94</f>
        <v>0</v>
      </c>
      <c r="H95" s="119">
        <f>H93+H94</f>
        <v>0</v>
      </c>
      <c r="I95" s="119">
        <f>I93+I94</f>
        <v>0</v>
      </c>
    </row>
    <row r="96" spans="2:9" ht="16" thickTop="1" x14ac:dyDescent="0.2">
      <c r="E96" s="64"/>
      <c r="F96" s="64"/>
      <c r="G96" s="64"/>
      <c r="H96" s="64"/>
      <c r="I96" s="64"/>
    </row>
    <row r="97" spans="1:9" x14ac:dyDescent="0.2">
      <c r="B97" s="145" t="s">
        <v>99</v>
      </c>
      <c r="C97" s="145"/>
      <c r="D97" s="145"/>
      <c r="E97" s="145"/>
      <c r="F97" s="145"/>
      <c r="G97" s="145"/>
      <c r="H97" s="145"/>
      <c r="I97" s="145"/>
    </row>
    <row r="98" spans="1:9" x14ac:dyDescent="0.2">
      <c r="B98" s="146" t="s">
        <v>36</v>
      </c>
      <c r="C98" s="146"/>
      <c r="D98" s="146"/>
      <c r="E98" s="146"/>
      <c r="F98" s="146"/>
      <c r="G98" s="146"/>
      <c r="H98" s="146"/>
      <c r="I98" s="146"/>
    </row>
    <row r="99" spans="1:9" ht="16" x14ac:dyDescent="0.2">
      <c r="A99" s="108"/>
      <c r="B99"/>
      <c r="C99"/>
      <c r="D99"/>
      <c r="E99" s="109" t="s">
        <v>96</v>
      </c>
      <c r="F99" s="109"/>
      <c r="G99" s="109"/>
      <c r="H99" s="109"/>
      <c r="I99"/>
    </row>
    <row r="100" spans="1:9" x14ac:dyDescent="0.2">
      <c r="A100"/>
      <c r="B100"/>
      <c r="C100"/>
      <c r="D100" s="113"/>
      <c r="E100" s="114">
        <v>1</v>
      </c>
      <c r="F100" s="114">
        <v>2</v>
      </c>
      <c r="G100" s="114">
        <v>3</v>
      </c>
      <c r="H100" s="114">
        <v>4</v>
      </c>
      <c r="I100" s="114">
        <v>5</v>
      </c>
    </row>
    <row r="101" spans="1:9" x14ac:dyDescent="0.2">
      <c r="A101"/>
      <c r="B101" s="58" t="s">
        <v>97</v>
      </c>
      <c r="D101" s="115">
        <f>I6</f>
        <v>7.5</v>
      </c>
      <c r="E101" s="116">
        <f>E29*$D$101</f>
        <v>10788.224999999999</v>
      </c>
      <c r="F101" s="116">
        <f>F29*$D$101</f>
        <v>11105.099999999999</v>
      </c>
      <c r="G101" s="116">
        <f>G29*$D$101</f>
        <v>11076.225000000006</v>
      </c>
      <c r="H101" s="116">
        <f>H29*$D$101</f>
        <v>12844.574999999999</v>
      </c>
      <c r="I101" s="116">
        <f>I29*$D$101</f>
        <v>13476.525000000003</v>
      </c>
    </row>
    <row r="102" spans="1:9" x14ac:dyDescent="0.2">
      <c r="A102"/>
      <c r="C102"/>
      <c r="D102" s="113"/>
      <c r="E102" s="113"/>
      <c r="F102" s="113"/>
      <c r="G102" s="113"/>
      <c r="H102" s="113"/>
      <c r="I102" s="113"/>
    </row>
    <row r="103" spans="1:9" x14ac:dyDescent="0.2">
      <c r="A103"/>
      <c r="B103" s="58" t="s">
        <v>45</v>
      </c>
      <c r="C103"/>
      <c r="D103" s="113"/>
      <c r="E103" s="117">
        <f>E91</f>
        <v>7789.0984500000004</v>
      </c>
      <c r="F103" s="117">
        <f>F91</f>
        <v>7385.1360296575003</v>
      </c>
      <c r="G103" s="117">
        <f>G91</f>
        <v>6984.7874295794954</v>
      </c>
      <c r="H103" s="117">
        <f>H91</f>
        <v>6446.3856796295058</v>
      </c>
      <c r="I103" s="117">
        <f>I91</f>
        <v>5851.8857691772828</v>
      </c>
    </row>
    <row r="104" spans="1:9" x14ac:dyDescent="0.2">
      <c r="A104"/>
      <c r="B104" s="58" t="s">
        <v>9</v>
      </c>
      <c r="C104"/>
      <c r="D104" s="113"/>
      <c r="E104" s="117">
        <f>E95</f>
        <v>0</v>
      </c>
      <c r="F104" s="117">
        <f>F95</f>
        <v>0</v>
      </c>
      <c r="G104" s="117">
        <f>G95</f>
        <v>0</v>
      </c>
      <c r="H104" s="117">
        <f>H95</f>
        <v>0</v>
      </c>
      <c r="I104" s="117">
        <f>I95</f>
        <v>0</v>
      </c>
    </row>
    <row r="105" spans="1:9" x14ac:dyDescent="0.2">
      <c r="A105"/>
      <c r="B105" s="58" t="s">
        <v>98</v>
      </c>
      <c r="C105"/>
      <c r="D105" s="113"/>
      <c r="E105" s="116">
        <f>E101-E103+E104</f>
        <v>2999.1265499999981</v>
      </c>
      <c r="F105" s="116">
        <f>F101-F103+F104</f>
        <v>3719.9639703424982</v>
      </c>
      <c r="G105" s="116">
        <f>G101-G103+G104</f>
        <v>4091.4375704205104</v>
      </c>
      <c r="H105" s="116">
        <f>H101-H103+H104</f>
        <v>6398.1893203704931</v>
      </c>
      <c r="I105" s="116">
        <f>I101-I103+I104</f>
        <v>7624.6392308227205</v>
      </c>
    </row>
    <row r="106" spans="1:9" x14ac:dyDescent="0.2">
      <c r="A106"/>
      <c r="C106"/>
      <c r="D106" s="113"/>
      <c r="E106" s="113"/>
      <c r="F106" s="113"/>
      <c r="G106" s="113"/>
      <c r="H106" s="113"/>
      <c r="I106" s="113"/>
    </row>
    <row r="107" spans="1:9" x14ac:dyDescent="0.2">
      <c r="A107"/>
      <c r="B107" s="58" t="s">
        <v>69</v>
      </c>
      <c r="C107"/>
      <c r="D107" s="113"/>
      <c r="E107" s="118">
        <f>(E105/$E$16)^(1/E100)-1</f>
        <v>4.2499999999999538E-2</v>
      </c>
      <c r="F107" s="118">
        <f>(F105/$E$16)^(1/F100)-1</f>
        <v>0.13712970028251115</v>
      </c>
      <c r="G107" s="118">
        <f>(G105/$E$16)^(1/G100)-1</f>
        <v>0.12456803193607802</v>
      </c>
      <c r="H107" s="118">
        <f>(H105/$E$16)^(1/H100)-1</f>
        <v>0.22119379709681186</v>
      </c>
      <c r="I107" s="118">
        <f>(I105/$E$16)^(1/I100)-1</f>
        <v>0.21523456668589058</v>
      </c>
    </row>
    <row r="108" spans="1:9" x14ac:dyDescent="0.2">
      <c r="A108"/>
      <c r="B108" s="58" t="s">
        <v>106</v>
      </c>
      <c r="C108"/>
      <c r="D108" s="113"/>
      <c r="E108" s="120">
        <f>E105/$E$16</f>
        <v>1.0424999999999995</v>
      </c>
      <c r="F108" s="120">
        <f>F105/$E$16</f>
        <v>1.2930639552645937</v>
      </c>
      <c r="G108" s="120">
        <f>G105/$E$16</f>
        <v>1.42218862593957</v>
      </c>
      <c r="H108" s="120">
        <f>H105/$E$16</f>
        <v>2.2240183117602159</v>
      </c>
      <c r="I108" s="120">
        <f>I105/$E$16</f>
        <v>2.6503337773901832</v>
      </c>
    </row>
    <row r="109" spans="1:9" x14ac:dyDescent="0.2">
      <c r="A109"/>
      <c r="B109" s="107"/>
      <c r="C109" s="107"/>
      <c r="D109" s="107"/>
      <c r="E109" s="107"/>
      <c r="F109" s="107"/>
      <c r="G109" s="107"/>
      <c r="H109" s="107"/>
      <c r="I109" s="107"/>
    </row>
    <row r="110" spans="1:9" x14ac:dyDescent="0.2">
      <c r="A110"/>
    </row>
    <row r="111" spans="1:9" ht="16" x14ac:dyDescent="0.2">
      <c r="A111"/>
      <c r="B111" s="121" t="s">
        <v>114</v>
      </c>
    </row>
    <row r="112" spans="1:9" x14ac:dyDescent="0.2">
      <c r="A112"/>
      <c r="B112" s="58" t="s">
        <v>111</v>
      </c>
      <c r="I112" s="81">
        <v>0.05</v>
      </c>
    </row>
    <row r="113" spans="1:10" x14ac:dyDescent="0.2">
      <c r="A113"/>
      <c r="B113" s="58" t="s">
        <v>112</v>
      </c>
      <c r="I113" s="117">
        <f>+I105*I112</f>
        <v>381.23196154113606</v>
      </c>
    </row>
    <row r="114" spans="1:10" x14ac:dyDescent="0.2">
      <c r="A114"/>
      <c r="B114" s="58" t="s">
        <v>110</v>
      </c>
      <c r="C114"/>
      <c r="D114" s="117">
        <f>-E15</f>
        <v>-2876.86</v>
      </c>
      <c r="E114" s="117">
        <f>E84</f>
        <v>316.45460000000003</v>
      </c>
      <c r="F114" s="117">
        <f>F84</f>
        <v>322.78369200000003</v>
      </c>
      <c r="G114" s="117">
        <f>G84</f>
        <v>329.23936584</v>
      </c>
      <c r="H114" s="117">
        <f>H84</f>
        <v>335.82415315680004</v>
      </c>
      <c r="I114" s="117">
        <f>I84+MIN(I86,I101-I78-I72)+I113</f>
        <v>3900.0584972550241</v>
      </c>
    </row>
    <row r="115" spans="1:10" x14ac:dyDescent="0.2">
      <c r="A115"/>
      <c r="B115" s="58" t="s">
        <v>115</v>
      </c>
      <c r="D115" s="122">
        <f>IRR(D114:I114)</f>
        <v>0.1490238977046392</v>
      </c>
    </row>
    <row r="116" spans="1:10" x14ac:dyDescent="0.2">
      <c r="A116"/>
      <c r="B116" s="58" t="s">
        <v>116</v>
      </c>
      <c r="D116" s="123">
        <f>SUM(E114:I114)/-D114</f>
        <v>1.809041909669509</v>
      </c>
    </row>
    <row r="117" spans="1:10" x14ac:dyDescent="0.2">
      <c r="A117"/>
    </row>
    <row r="118" spans="1:10" ht="16" x14ac:dyDescent="0.2">
      <c r="A118"/>
      <c r="B118" s="121" t="s">
        <v>113</v>
      </c>
    </row>
    <row r="119" spans="1:10" x14ac:dyDescent="0.2">
      <c r="A119"/>
      <c r="B119" s="58" t="s">
        <v>117</v>
      </c>
      <c r="D119" s="117">
        <f>-E16</f>
        <v>-2876.8599999999992</v>
      </c>
      <c r="E119" s="117">
        <v>0</v>
      </c>
      <c r="F119" s="117">
        <v>0</v>
      </c>
      <c r="G119" s="117">
        <v>0</v>
      </c>
      <c r="H119" s="117">
        <v>0</v>
      </c>
      <c r="I119" s="117">
        <f>I105-I113</f>
        <v>7243.4072692815844</v>
      </c>
    </row>
    <row r="120" spans="1:10" x14ac:dyDescent="0.2">
      <c r="A120"/>
      <c r="B120" s="58" t="s">
        <v>118</v>
      </c>
      <c r="D120" s="122">
        <f>IRR(D119:I119)</f>
        <v>0.20283161739677635</v>
      </c>
    </row>
    <row r="121" spans="1:10" x14ac:dyDescent="0.2">
      <c r="A121"/>
      <c r="B121" s="58" t="s">
        <v>119</v>
      </c>
      <c r="C121"/>
      <c r="D121" s="123">
        <f>SUM(E119:I119)/-D119</f>
        <v>2.5178170885206739</v>
      </c>
    </row>
    <row r="122" spans="1:10" ht="16" thickBot="1" x14ac:dyDescent="0.25">
      <c r="A122"/>
      <c r="B122" s="65"/>
      <c r="C122" s="65"/>
      <c r="D122" s="65"/>
      <c r="E122" s="110"/>
      <c r="F122" s="110"/>
      <c r="G122" s="110"/>
      <c r="H122" s="110"/>
      <c r="I122" s="110"/>
    </row>
    <row r="123" spans="1:10" ht="16" thickTop="1" x14ac:dyDescent="0.2">
      <c r="A123"/>
    </row>
    <row r="124" spans="1:10" x14ac:dyDescent="0.2">
      <c r="A124"/>
      <c r="B124" s="145" t="s">
        <v>107</v>
      </c>
      <c r="C124" s="145"/>
      <c r="D124" s="145"/>
      <c r="E124" s="145"/>
      <c r="F124" s="145"/>
      <c r="G124" s="145"/>
      <c r="H124" s="145"/>
      <c r="I124" s="145"/>
      <c r="J124"/>
    </row>
    <row r="125" spans="1:10" x14ac:dyDescent="0.2">
      <c r="I125"/>
      <c r="J125"/>
    </row>
    <row r="126" spans="1:10" x14ac:dyDescent="0.2">
      <c r="F126" s="58" t="s">
        <v>114</v>
      </c>
      <c r="I126"/>
      <c r="J126"/>
    </row>
    <row r="127" spans="1:10" x14ac:dyDescent="0.2">
      <c r="C127" s="147" t="s">
        <v>67</v>
      </c>
      <c r="D127" s="147"/>
      <c r="E127" s="147"/>
      <c r="F127" s="147"/>
      <c r="G127" s="147"/>
      <c r="H127" s="147"/>
      <c r="I127" s="147"/>
    </row>
    <row r="128" spans="1:10" x14ac:dyDescent="0.2">
      <c r="B128" s="82"/>
      <c r="C128" s="124" t="s">
        <v>10</v>
      </c>
      <c r="D128" s="124"/>
      <c r="E128" s="124"/>
      <c r="F128" s="124"/>
      <c r="G128" s="124"/>
      <c r="H128" s="124"/>
      <c r="I128" s="73"/>
    </row>
    <row r="129" spans="2:9" x14ac:dyDescent="0.2">
      <c r="C129" s="111">
        <f>D115</f>
        <v>0.1490238977046392</v>
      </c>
      <c r="D129" s="83">
        <v>6</v>
      </c>
      <c r="E129" s="83">
        <v>7.5</v>
      </c>
      <c r="F129" s="83">
        <v>8</v>
      </c>
      <c r="G129" s="83">
        <v>9.5</v>
      </c>
      <c r="H129" s="83">
        <v>10</v>
      </c>
      <c r="I129" s="83">
        <v>11</v>
      </c>
    </row>
    <row r="130" spans="2:9" ht="14.5" customHeight="1" x14ac:dyDescent="0.2">
      <c r="B130" s="144" t="s">
        <v>68</v>
      </c>
      <c r="C130" s="112">
        <v>-0.2</v>
      </c>
      <c r="D130" s="129">
        <f t="dataTable" ref="D130:I135" dt2D="1" dtr="1" r1="D101" r2="C30"/>
        <v>0.13983620146036579</v>
      </c>
      <c r="E130" s="129">
        <v>0.14646842607702748</v>
      </c>
      <c r="F130" s="129">
        <v>0.14864218640992588</v>
      </c>
      <c r="G130" s="129">
        <v>0.15505733507719288</v>
      </c>
      <c r="H130" s="129">
        <v>0.15716142025895175</v>
      </c>
      <c r="I130" s="129">
        <v>0.16131999189524282</v>
      </c>
    </row>
    <row r="131" spans="2:9" x14ac:dyDescent="0.2">
      <c r="B131" s="144"/>
      <c r="C131" s="112">
        <v>-0.1</v>
      </c>
      <c r="D131" s="129">
        <v>0.14115003187075037</v>
      </c>
      <c r="E131" s="129">
        <v>0.14774928450143254</v>
      </c>
      <c r="F131" s="129">
        <v>0.14991246904775379</v>
      </c>
      <c r="G131" s="129">
        <v>0.15629705168657049</v>
      </c>
      <c r="H131" s="129">
        <v>0.15839131700450548</v>
      </c>
      <c r="I131" s="129">
        <v>0.1625307713791031</v>
      </c>
    </row>
    <row r="132" spans="2:9" ht="16" x14ac:dyDescent="0.2">
      <c r="B132" s="144"/>
      <c r="C132" s="112">
        <v>0</v>
      </c>
      <c r="D132" s="129">
        <v>0.14245724498498546</v>
      </c>
      <c r="E132" s="130">
        <v>0.1490238977046392</v>
      </c>
      <c r="F132" s="129">
        <v>0.15117662324074033</v>
      </c>
      <c r="G132" s="129">
        <v>0.15753097038840935</v>
      </c>
      <c r="H132" s="129">
        <v>0.15961551984458722</v>
      </c>
      <c r="I132" s="129">
        <v>0.16373605638968414</v>
      </c>
    </row>
    <row r="133" spans="2:9" x14ac:dyDescent="0.2">
      <c r="B133" s="144"/>
      <c r="C133" s="112">
        <v>0.05</v>
      </c>
      <c r="D133" s="129">
        <v>0.14310839374909756</v>
      </c>
      <c r="E133" s="129">
        <v>0.14965888399175187</v>
      </c>
      <c r="F133" s="129">
        <v>0.15180642318450777</v>
      </c>
      <c r="G133" s="129">
        <v>0.15814577479334524</v>
      </c>
      <c r="H133" s="129">
        <v>0.16022550478180952</v>
      </c>
      <c r="I133" s="129">
        <v>0.16433665618377824</v>
      </c>
    </row>
    <row r="134" spans="2:9" x14ac:dyDescent="0.2">
      <c r="B134" s="144"/>
      <c r="C134" s="112">
        <v>0.08</v>
      </c>
      <c r="D134" s="129">
        <v>0.14354714799994084</v>
      </c>
      <c r="E134" s="129">
        <v>0.15008677614888422</v>
      </c>
      <c r="F134" s="129">
        <v>0.15223082947532918</v>
      </c>
      <c r="G134" s="129">
        <v>0.15856010126529596</v>
      </c>
      <c r="H134" s="129">
        <v>0.16063659136577013</v>
      </c>
      <c r="I134" s="129">
        <v>0.16474143318640366</v>
      </c>
    </row>
    <row r="135" spans="2:9" x14ac:dyDescent="0.2">
      <c r="B135" s="144"/>
      <c r="C135" s="112">
        <v>0.1</v>
      </c>
      <c r="D135" s="129">
        <v>0.14387089059641456</v>
      </c>
      <c r="E135" s="129">
        <v>0.15040251859628384</v>
      </c>
      <c r="F135" s="129">
        <v>0.15254400433174564</v>
      </c>
      <c r="G135" s="129">
        <v>0.15886585111962304</v>
      </c>
      <c r="H135" s="129">
        <v>0.16093995449750431</v>
      </c>
      <c r="I135" s="129">
        <v>0.16504014803542999</v>
      </c>
    </row>
    <row r="138" spans="2:9" x14ac:dyDescent="0.2">
      <c r="C138" s="147" t="s">
        <v>67</v>
      </c>
      <c r="D138" s="147"/>
      <c r="E138" s="147"/>
      <c r="F138" s="147"/>
      <c r="G138" s="147"/>
      <c r="H138" s="147"/>
      <c r="I138" s="147"/>
    </row>
    <row r="139" spans="2:9" x14ac:dyDescent="0.2">
      <c r="B139" s="82"/>
      <c r="C139" s="124" t="s">
        <v>10</v>
      </c>
      <c r="D139" s="124"/>
      <c r="E139" s="124"/>
      <c r="F139" s="124"/>
      <c r="G139" s="124"/>
      <c r="H139" s="124"/>
      <c r="I139" s="73"/>
    </row>
    <row r="140" spans="2:9" x14ac:dyDescent="0.2">
      <c r="C140" s="111">
        <f>D120</f>
        <v>0.20283161739677635</v>
      </c>
      <c r="D140" s="83">
        <v>6</v>
      </c>
      <c r="E140" s="83">
        <v>7.5</v>
      </c>
      <c r="F140" s="83">
        <v>8</v>
      </c>
      <c r="G140" s="83">
        <v>9.5</v>
      </c>
      <c r="H140" s="83">
        <v>10</v>
      </c>
      <c r="I140" s="83">
        <v>11</v>
      </c>
    </row>
    <row r="141" spans="2:9" x14ac:dyDescent="0.2">
      <c r="B141" s="144" t="s">
        <v>68</v>
      </c>
      <c r="C141" s="112">
        <v>-0.2</v>
      </c>
      <c r="D141" s="129">
        <f t="dataTable" ref="D141:I146" dt2D="1" dtr="1" r1="D101" r2="C30" ca="1"/>
        <v>5.040352125512082E-2</v>
      </c>
      <c r="E141" s="129">
        <v>0.16746320698386263</v>
      </c>
      <c r="F141" s="129">
        <v>0.19778745747672732</v>
      </c>
      <c r="G141" s="129">
        <v>0.27394813157184994</v>
      </c>
      <c r="H141" s="129">
        <v>0.29571880340397416</v>
      </c>
      <c r="I141" s="129">
        <v>0.33532493758726001</v>
      </c>
    </row>
    <row r="142" spans="2:9" x14ac:dyDescent="0.2">
      <c r="B142" s="144"/>
      <c r="C142" s="112">
        <v>-0.1</v>
      </c>
      <c r="D142" s="129">
        <v>7.762647635036779E-2</v>
      </c>
      <c r="E142" s="129">
        <v>0.1856747520135722</v>
      </c>
      <c r="F142" s="129">
        <v>0.21428378329723996</v>
      </c>
      <c r="G142" s="129">
        <v>0.28693214464850447</v>
      </c>
      <c r="H142" s="129">
        <v>0.30787167063583865</v>
      </c>
      <c r="I142" s="129">
        <v>0.34612669470321267</v>
      </c>
    </row>
    <row r="143" spans="2:9" ht="16" x14ac:dyDescent="0.2">
      <c r="B143" s="144"/>
      <c r="C143" s="112">
        <v>0</v>
      </c>
      <c r="D143" s="129">
        <v>0.10234777219446145</v>
      </c>
      <c r="E143" s="130">
        <v>0.20283161739677635</v>
      </c>
      <c r="F143" s="129">
        <v>0.22992953238615588</v>
      </c>
      <c r="G143" s="129">
        <v>0.29941237626009198</v>
      </c>
      <c r="H143" s="129">
        <v>0.31958893546779499</v>
      </c>
      <c r="I143" s="129">
        <v>0.35659247611998279</v>
      </c>
    </row>
    <row r="144" spans="2:9" x14ac:dyDescent="0.2">
      <c r="B144" s="144"/>
      <c r="C144" s="112">
        <v>0.05</v>
      </c>
      <c r="D144" s="129">
        <v>0.11392075158276005</v>
      </c>
      <c r="E144" s="129">
        <v>0.21105556660950264</v>
      </c>
      <c r="F144" s="129">
        <v>0.23746304062450019</v>
      </c>
      <c r="G144" s="129">
        <v>0.30547689858925575</v>
      </c>
      <c r="H144" s="129">
        <v>0.32529488511621474</v>
      </c>
      <c r="I144" s="129">
        <v>0.36170654283579173</v>
      </c>
    </row>
    <row r="145" spans="2:9" x14ac:dyDescent="0.2">
      <c r="B145" s="144"/>
      <c r="C145" s="112">
        <v>0.08</v>
      </c>
      <c r="D145" s="129">
        <v>0.12147140649188271</v>
      </c>
      <c r="E145" s="129">
        <v>0.21648480900626232</v>
      </c>
      <c r="F145" s="129">
        <v>0.24244799866683597</v>
      </c>
      <c r="G145" s="129">
        <v>0.309508986230975</v>
      </c>
      <c r="H145" s="129">
        <v>0.32909284350724488</v>
      </c>
      <c r="I145" s="129">
        <v>0.3651167447095145</v>
      </c>
    </row>
    <row r="146" spans="2:9" x14ac:dyDescent="0.2">
      <c r="B146" s="144"/>
      <c r="C146" s="112">
        <v>0.1</v>
      </c>
      <c r="D146" s="129">
        <v>0.12692307031979211</v>
      </c>
      <c r="E146" s="129">
        <v>0.22043535140250281</v>
      </c>
      <c r="F146" s="129">
        <v>0.24608088340929535</v>
      </c>
      <c r="G146" s="129">
        <v>0.31245690129630477</v>
      </c>
      <c r="H146" s="129">
        <v>0.33187170506818076</v>
      </c>
      <c r="I146" s="129">
        <v>0.36761499234317929</v>
      </c>
    </row>
  </sheetData>
  <mergeCells count="13">
    <mergeCell ref="B21:I21"/>
    <mergeCell ref="B2:I2"/>
    <mergeCell ref="B3:I3"/>
    <mergeCell ref="B4:I4"/>
    <mergeCell ref="B19:I19"/>
    <mergeCell ref="B20:I20"/>
    <mergeCell ref="B141:B146"/>
    <mergeCell ref="B97:I97"/>
    <mergeCell ref="B98:I98"/>
    <mergeCell ref="B124:I124"/>
    <mergeCell ref="C127:I127"/>
    <mergeCell ref="B130:B135"/>
    <mergeCell ref="C138:I138"/>
  </mergeCells>
  <pageMargins left="0.7" right="0.7" top="0.75" bottom="0.75" header="0.3" footer="0.3"/>
  <pageSetup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DE9B-7932-2444-8FED-1B98A8EB9A4E}">
  <sheetPr>
    <pageSetUpPr fitToPage="1"/>
  </sheetPr>
  <dimension ref="A1:M146"/>
  <sheetViews>
    <sheetView showGridLines="0" topLeftCell="A11" zoomScaleNormal="100" workbookViewId="0">
      <selection activeCell="M19" sqref="M19"/>
    </sheetView>
  </sheetViews>
  <sheetFormatPr baseColWidth="10" defaultColWidth="9" defaultRowHeight="15" x14ac:dyDescent="0.2"/>
  <cols>
    <col min="1" max="1" width="46.33203125" style="58" bestFit="1" customWidth="1"/>
    <col min="2" max="2" width="53.83203125" style="58" bestFit="1" customWidth="1"/>
    <col min="3" max="3" width="10.5" style="58" bestFit="1" customWidth="1"/>
    <col min="4" max="4" width="7.6640625" style="58" bestFit="1" customWidth="1"/>
    <col min="5" max="5" width="10.33203125" style="58" bestFit="1" customWidth="1"/>
    <col min="6" max="6" width="12.5" style="58" bestFit="1" customWidth="1"/>
    <col min="7" max="7" width="8.6640625" style="58" bestFit="1" customWidth="1"/>
    <col min="8" max="8" width="13.6640625" style="58" customWidth="1"/>
    <col min="9" max="9" width="8.6640625" style="58" bestFit="1" customWidth="1"/>
    <col min="10" max="10" width="17" style="58" bestFit="1" customWidth="1"/>
    <col min="11" max="16384" width="9" style="58"/>
  </cols>
  <sheetData>
    <row r="1" spans="1:13" ht="16" thickBot="1" x14ac:dyDescent="0.25">
      <c r="A1" s="58" t="s">
        <v>124</v>
      </c>
      <c r="B1" s="65"/>
      <c r="C1" s="65"/>
      <c r="D1" s="65"/>
      <c r="E1" s="65"/>
      <c r="F1" s="65"/>
      <c r="G1" s="65"/>
      <c r="H1" s="65"/>
      <c r="I1" s="65"/>
    </row>
    <row r="2" spans="1:13" ht="16" thickTop="1" x14ac:dyDescent="0.2">
      <c r="B2" s="145" t="s">
        <v>91</v>
      </c>
      <c r="C2" s="145"/>
      <c r="D2" s="145"/>
      <c r="E2" s="145"/>
      <c r="F2" s="145"/>
      <c r="G2" s="145"/>
      <c r="H2" s="145"/>
      <c r="I2" s="145"/>
    </row>
    <row r="3" spans="1:13" x14ac:dyDescent="0.2">
      <c r="B3" s="146" t="s">
        <v>36</v>
      </c>
      <c r="C3" s="146"/>
      <c r="D3" s="146"/>
      <c r="E3" s="146"/>
      <c r="F3" s="146"/>
      <c r="G3" s="146"/>
      <c r="H3" s="146"/>
      <c r="I3" s="146"/>
    </row>
    <row r="4" spans="1:13" x14ac:dyDescent="0.2">
      <c r="B4" s="149" t="s">
        <v>65</v>
      </c>
      <c r="C4" s="149"/>
      <c r="D4" s="149"/>
      <c r="E4" s="149"/>
      <c r="F4" s="149"/>
      <c r="G4" s="149"/>
      <c r="H4" s="149"/>
      <c r="I4" s="149"/>
    </row>
    <row r="5" spans="1:13" ht="16" thickBot="1" x14ac:dyDescent="0.25">
      <c r="B5" s="65"/>
      <c r="C5" s="65"/>
      <c r="D5" s="65"/>
      <c r="E5" s="65"/>
      <c r="F5" s="65"/>
      <c r="G5" s="65"/>
      <c r="H5" s="65"/>
      <c r="I5" s="65"/>
    </row>
    <row r="6" spans="1:13" ht="16" thickTop="1" x14ac:dyDescent="0.2">
      <c r="B6" s="56" t="s">
        <v>63</v>
      </c>
      <c r="D6" s="100">
        <f>'Ex 10 Projections'!E18</f>
        <v>1438.43</v>
      </c>
      <c r="E6" s="91" t="s">
        <v>31</v>
      </c>
      <c r="H6" s="56" t="s">
        <v>76</v>
      </c>
      <c r="I6" s="79">
        <f>D12</f>
        <v>7.5</v>
      </c>
      <c r="L6" s="127" t="s">
        <v>3</v>
      </c>
      <c r="M6" s="142">
        <f>E13</f>
        <v>4315.29</v>
      </c>
    </row>
    <row r="7" spans="1:13" x14ac:dyDescent="0.2">
      <c r="B7" s="56" t="s">
        <v>62</v>
      </c>
      <c r="D7" s="81">
        <v>0.03</v>
      </c>
      <c r="H7" s="56" t="s">
        <v>73</v>
      </c>
      <c r="I7" s="101">
        <f>'Ex 11 Comps'!I16</f>
        <v>64.2</v>
      </c>
      <c r="J7" s="91" t="s">
        <v>35</v>
      </c>
      <c r="L7" s="58" t="s">
        <v>4</v>
      </c>
      <c r="M7" s="142">
        <f>E14</f>
        <v>2157.645</v>
      </c>
    </row>
    <row r="8" spans="1:13" x14ac:dyDescent="0.2">
      <c r="B8" s="56" t="s">
        <v>32</v>
      </c>
      <c r="D8" s="99">
        <v>0.23</v>
      </c>
      <c r="E8" s="91" t="s">
        <v>31</v>
      </c>
      <c r="H8" s="56" t="s">
        <v>74</v>
      </c>
      <c r="I8" s="100">
        <f>('Ex 11 Comps'!I16*'Ex 11 Comps'!J16)+'Ex 11 Comps'!K16</f>
        <v>8758.648000000001</v>
      </c>
      <c r="J8" s="91" t="s">
        <v>90</v>
      </c>
      <c r="L8" s="58" t="s">
        <v>145</v>
      </c>
      <c r="M8" s="142">
        <f>E15</f>
        <v>1438.43</v>
      </c>
    </row>
    <row r="9" spans="1:13" x14ac:dyDescent="0.2">
      <c r="B9" s="56" t="s">
        <v>104</v>
      </c>
      <c r="D9" s="100">
        <v>0</v>
      </c>
      <c r="E9" s="91" t="s">
        <v>105</v>
      </c>
      <c r="H9" s="84"/>
      <c r="I9" s="84"/>
      <c r="J9" s="91"/>
      <c r="L9" s="58" t="s">
        <v>146</v>
      </c>
      <c r="M9" s="142">
        <f>E16</f>
        <v>2876.8600000000006</v>
      </c>
    </row>
    <row r="10" spans="1:13" x14ac:dyDescent="0.2">
      <c r="B10" s="60"/>
      <c r="E10" s="91"/>
      <c r="F10" s="56"/>
      <c r="H10" s="56"/>
      <c r="I10" s="84"/>
      <c r="L10" s="58" t="s">
        <v>147</v>
      </c>
      <c r="M10" s="142">
        <f>SUM(M6:M9)</f>
        <v>10788.225</v>
      </c>
    </row>
    <row r="11" spans="1:13" ht="16" x14ac:dyDescent="0.2">
      <c r="B11" s="78" t="s">
        <v>66</v>
      </c>
      <c r="C11" s="70"/>
      <c r="D11" s="70"/>
      <c r="E11" s="71" t="s">
        <v>64</v>
      </c>
      <c r="F11" s="72" t="s">
        <v>34</v>
      </c>
      <c r="G11" s="72" t="s">
        <v>108</v>
      </c>
      <c r="J11" s="72" t="s">
        <v>109</v>
      </c>
    </row>
    <row r="12" spans="1:13" x14ac:dyDescent="0.2">
      <c r="B12" s="60" t="s">
        <v>77</v>
      </c>
      <c r="D12" s="76">
        <f>SUM(D13:D16)</f>
        <v>7.5</v>
      </c>
      <c r="E12" s="68">
        <f>D6*D12</f>
        <v>10788.225</v>
      </c>
      <c r="F12" s="73"/>
      <c r="L12" s="58" t="s">
        <v>0</v>
      </c>
      <c r="M12" s="64">
        <f>E30</f>
        <v>1438.4299999999998</v>
      </c>
    </row>
    <row r="13" spans="1:13" x14ac:dyDescent="0.2">
      <c r="B13" s="60" t="s">
        <v>3</v>
      </c>
      <c r="D13" s="102">
        <v>3</v>
      </c>
      <c r="E13" s="68">
        <f>D13*$D$6</f>
        <v>4315.29</v>
      </c>
      <c r="F13" s="128">
        <f>D7+J13</f>
        <v>5.5E-2</v>
      </c>
      <c r="H13" s="74"/>
      <c r="I13" s="73"/>
      <c r="J13" s="125">
        <v>2.5000000000000001E-2</v>
      </c>
      <c r="L13" s="58" t="s">
        <v>148</v>
      </c>
      <c r="M13" s="143">
        <f>M10/M12</f>
        <v>7.5000000000000009</v>
      </c>
    </row>
    <row r="14" spans="1:13" x14ac:dyDescent="0.2">
      <c r="B14" s="60" t="s">
        <v>4</v>
      </c>
      <c r="D14" s="102">
        <v>1.5</v>
      </c>
      <c r="E14" s="68">
        <f>D14*$D$6</f>
        <v>2157.645</v>
      </c>
      <c r="F14" s="128">
        <f>D7+J14</f>
        <v>7.4999999999999997E-2</v>
      </c>
      <c r="H14" s="74"/>
      <c r="I14" s="73"/>
      <c r="J14" s="125">
        <v>4.4999999999999998E-2</v>
      </c>
    </row>
    <row r="15" spans="1:13" x14ac:dyDescent="0.2">
      <c r="B15" s="60" t="s">
        <v>121</v>
      </c>
      <c r="D15" s="102">
        <v>1</v>
      </c>
      <c r="E15" s="68">
        <f>D15*$D$6</f>
        <v>1438.43</v>
      </c>
      <c r="F15" s="81">
        <v>0.11</v>
      </c>
      <c r="G15" s="81">
        <v>0.02</v>
      </c>
      <c r="H15" s="74"/>
      <c r="I15" s="75"/>
      <c r="J15" s="58" t="s">
        <v>127</v>
      </c>
    </row>
    <row r="16" spans="1:13" ht="16" thickBot="1" x14ac:dyDescent="0.25">
      <c r="B16" s="77" t="s">
        <v>122</v>
      </c>
      <c r="C16" s="65"/>
      <c r="D16" s="103">
        <v>2</v>
      </c>
      <c r="E16" s="69">
        <f>E12-E13-E14-E15</f>
        <v>2876.8600000000006</v>
      </c>
      <c r="F16" s="65"/>
      <c r="G16" s="65"/>
      <c r="H16" s="65"/>
      <c r="I16" s="65"/>
      <c r="J16" s="132">
        <v>0.05</v>
      </c>
    </row>
    <row r="17" spans="2:11" ht="17" thickTop="1" thickBot="1" x14ac:dyDescent="0.25">
      <c r="B17" s="65"/>
      <c r="C17" s="65"/>
      <c r="D17" s="65"/>
      <c r="E17" s="65"/>
      <c r="F17" s="65"/>
      <c r="G17" s="65"/>
      <c r="H17" s="65"/>
      <c r="I17" s="65"/>
    </row>
    <row r="18" spans="2:11" ht="16" thickTop="1" x14ac:dyDescent="0.2">
      <c r="B18" s="60"/>
    </row>
    <row r="19" spans="2:11" x14ac:dyDescent="0.2">
      <c r="B19" s="145" t="s">
        <v>92</v>
      </c>
      <c r="C19" s="145"/>
      <c r="D19" s="145"/>
      <c r="E19" s="145"/>
      <c r="F19" s="145"/>
      <c r="G19" s="145"/>
      <c r="H19" s="145"/>
      <c r="I19" s="145"/>
    </row>
    <row r="20" spans="2:11" x14ac:dyDescent="0.2">
      <c r="B20" s="146" t="s">
        <v>36</v>
      </c>
      <c r="C20" s="146"/>
      <c r="D20" s="146"/>
      <c r="E20" s="146"/>
      <c r="F20" s="146"/>
      <c r="G20" s="146"/>
      <c r="H20" s="146"/>
      <c r="I20" s="146"/>
    </row>
    <row r="21" spans="2:11" x14ac:dyDescent="0.2">
      <c r="B21" s="148" t="s">
        <v>71</v>
      </c>
      <c r="C21" s="148"/>
      <c r="D21" s="148"/>
      <c r="E21" s="148"/>
      <c r="F21" s="148"/>
      <c r="G21" s="148"/>
      <c r="H21" s="148"/>
      <c r="I21" s="148"/>
      <c r="K21" s="58" t="s">
        <v>135</v>
      </c>
    </row>
    <row r="22" spans="2:11" ht="16" thickBot="1" x14ac:dyDescent="0.25">
      <c r="B22" s="65"/>
      <c r="C22" s="65"/>
      <c r="D22" s="65"/>
      <c r="E22" s="66"/>
      <c r="F22" s="67"/>
      <c r="G22" s="65"/>
      <c r="H22" s="65"/>
      <c r="I22" s="65"/>
      <c r="K22" s="58" t="s">
        <v>138</v>
      </c>
    </row>
    <row r="23" spans="2:11" s="63" customFormat="1" ht="16" thickTop="1" x14ac:dyDescent="0.2">
      <c r="B23" s="62"/>
      <c r="C23" s="62"/>
      <c r="D23" s="62">
        <v>2023</v>
      </c>
      <c r="E23" s="62">
        <v>2024</v>
      </c>
      <c r="F23" s="62">
        <v>2025</v>
      </c>
      <c r="G23" s="62">
        <v>2026</v>
      </c>
      <c r="H23" s="62">
        <v>2027</v>
      </c>
      <c r="I23" s="62">
        <v>2028</v>
      </c>
    </row>
    <row r="24" spans="2:11" x14ac:dyDescent="0.2">
      <c r="B24" s="58" t="str">
        <f>'Ex 10 Projections'!B11</f>
        <v>Total revenue</v>
      </c>
      <c r="D24" s="104">
        <f>'Ex 10 Projections'!D11</f>
        <v>8674.42</v>
      </c>
      <c r="E24" s="104">
        <f>'Ex 10 Projections'!E11</f>
        <v>8471</v>
      </c>
      <c r="F24" s="104">
        <f>'Ex 10 Projections'!F11</f>
        <v>8553</v>
      </c>
      <c r="G24" s="104">
        <f>'Ex 10 Projections'!G11</f>
        <v>8862.2900000000009</v>
      </c>
      <c r="H24" s="104">
        <f>'Ex 10 Projections'!H11</f>
        <v>9181.33</v>
      </c>
      <c r="I24" s="104">
        <f>'Ex 10 Projections'!I11</f>
        <v>9582.61</v>
      </c>
      <c r="J24" s="61"/>
      <c r="K24" s="61"/>
    </row>
    <row r="25" spans="2:11" x14ac:dyDescent="0.2">
      <c r="B25" s="58" t="str">
        <f>'Ex 10 Projections'!B12</f>
        <v xml:space="preserve">   Cost of goods sold</v>
      </c>
      <c r="D25" s="105">
        <f>'Ex 10 Projections'!D12</f>
        <v>4996.68</v>
      </c>
      <c r="E25" s="105">
        <f>'Ex 10 Projections'!E12</f>
        <v>5067.8</v>
      </c>
      <c r="F25" s="105">
        <f>'Ex 10 Projections'!F12</f>
        <v>5082.1000000000004</v>
      </c>
      <c r="G25" s="105">
        <f>'Ex 10 Projections'!G12</f>
        <v>5241.16</v>
      </c>
      <c r="H25" s="105">
        <f>'Ex 10 Projections'!H12</f>
        <v>5407.8</v>
      </c>
      <c r="I25" s="105">
        <f>'Ex 10 Projections'!I12</f>
        <v>5605.83</v>
      </c>
      <c r="J25" s="61"/>
      <c r="K25" s="61"/>
    </row>
    <row r="26" spans="2:11" x14ac:dyDescent="0.2">
      <c r="B26" s="58" t="str">
        <f>'Ex 10 Projections'!B13</f>
        <v>Gross profit</v>
      </c>
      <c r="D26" s="57">
        <f t="shared" ref="D26:I26" si="0">D24-D25</f>
        <v>3677.74</v>
      </c>
      <c r="E26" s="57">
        <f t="shared" si="0"/>
        <v>3403.2</v>
      </c>
      <c r="F26" s="57">
        <f t="shared" si="0"/>
        <v>3470.8999999999996</v>
      </c>
      <c r="G26" s="57">
        <f t="shared" si="0"/>
        <v>3621.130000000001</v>
      </c>
      <c r="H26" s="57">
        <f t="shared" si="0"/>
        <v>3773.5299999999997</v>
      </c>
      <c r="I26" s="57">
        <f t="shared" si="0"/>
        <v>3976.7800000000007</v>
      </c>
      <c r="J26" s="61"/>
      <c r="K26" s="61"/>
    </row>
    <row r="27" spans="2:11" x14ac:dyDescent="0.2">
      <c r="B27" s="58" t="str">
        <f>'Ex 10 Projections'!B14</f>
        <v xml:space="preserve">   Selling, general, and administrative expenses</v>
      </c>
      <c r="D27" s="104">
        <f>'Ex 10 Projections'!D14</f>
        <v>2179.31</v>
      </c>
      <c r="E27" s="104">
        <f>'Ex 10 Projections'!E14</f>
        <v>2189.6</v>
      </c>
      <c r="F27" s="104">
        <f>'Ex 10 Projections'!F14</f>
        <v>2223.6999999999998</v>
      </c>
      <c r="G27" s="104">
        <f>'Ex 10 Projections'!G14</f>
        <v>2395.0500000000002</v>
      </c>
      <c r="H27" s="104">
        <f>'Ex 10 Projections'!H14</f>
        <v>2313.4299999999998</v>
      </c>
      <c r="I27" s="104">
        <f>'Ex 10 Projections'!I14</f>
        <v>2443.7800000000002</v>
      </c>
      <c r="J27" s="61"/>
      <c r="K27" s="61"/>
    </row>
    <row r="28" spans="2:11" x14ac:dyDescent="0.2">
      <c r="B28" s="58" t="str">
        <f>'Ex 10 Projections'!B17</f>
        <v xml:space="preserve">   Depreciation and amortization</v>
      </c>
      <c r="D28" s="105">
        <f>'Ex 10 Projections'!D17</f>
        <v>214.2</v>
      </c>
      <c r="E28" s="105">
        <f>'Ex 10 Projections'!E17</f>
        <v>224.83</v>
      </c>
      <c r="F28" s="105">
        <f>'Ex 10 Projections'!F17</f>
        <v>233.48</v>
      </c>
      <c r="G28" s="105">
        <f>'Ex 10 Projections'!G17</f>
        <v>250.75</v>
      </c>
      <c r="H28" s="105">
        <f>'Ex 10 Projections'!H17</f>
        <v>252.51</v>
      </c>
      <c r="I28" s="105">
        <f>'Ex 10 Projections'!I17</f>
        <v>263.87</v>
      </c>
      <c r="J28" s="61"/>
      <c r="K28" s="61"/>
    </row>
    <row r="29" spans="2:11" ht="13" customHeight="1" x14ac:dyDescent="0.2">
      <c r="B29" s="58" t="str">
        <f>'Ex 10 Projections'!B18</f>
        <v>EBITDA</v>
      </c>
      <c r="D29" s="57">
        <f t="shared" ref="D29:I29" si="1">(D26-D27+D28)</f>
        <v>1712.6299999999999</v>
      </c>
      <c r="E29" s="57">
        <f t="shared" si="1"/>
        <v>1438.4299999999998</v>
      </c>
      <c r="F29" s="57">
        <f t="shared" si="1"/>
        <v>1480.6799999999998</v>
      </c>
      <c r="G29" s="57">
        <f t="shared" si="1"/>
        <v>1476.8300000000008</v>
      </c>
      <c r="H29" s="57">
        <f t="shared" si="1"/>
        <v>1712.61</v>
      </c>
      <c r="I29" s="57">
        <f t="shared" si="1"/>
        <v>1796.8700000000003</v>
      </c>
      <c r="J29" s="61"/>
      <c r="K29" s="61"/>
    </row>
    <row r="30" spans="2:11" ht="13" customHeight="1" x14ac:dyDescent="0.2">
      <c r="B30" s="58" t="s">
        <v>123</v>
      </c>
      <c r="C30" s="126">
        <v>0</v>
      </c>
      <c r="D30" s="57">
        <f t="shared" ref="D30:I30" si="2">D29*(1+$C$30)</f>
        <v>1712.6299999999999</v>
      </c>
      <c r="E30" s="57">
        <f t="shared" si="2"/>
        <v>1438.4299999999998</v>
      </c>
      <c r="F30" s="57">
        <f t="shared" si="2"/>
        <v>1480.6799999999998</v>
      </c>
      <c r="G30" s="57">
        <f t="shared" si="2"/>
        <v>1476.8300000000008</v>
      </c>
      <c r="H30" s="57">
        <f t="shared" si="2"/>
        <v>1712.61</v>
      </c>
      <c r="I30" s="57">
        <f t="shared" si="2"/>
        <v>1796.8700000000003</v>
      </c>
      <c r="J30" s="61"/>
      <c r="K30" s="61"/>
    </row>
    <row r="31" spans="2:11" ht="13" customHeight="1" x14ac:dyDescent="0.2">
      <c r="D31" s="57"/>
      <c r="E31" s="57"/>
      <c r="F31" s="57"/>
      <c r="G31" s="57"/>
      <c r="H31" s="57"/>
      <c r="I31" s="57"/>
      <c r="J31" s="61"/>
      <c r="K31" s="61"/>
    </row>
    <row r="32" spans="2:11" x14ac:dyDescent="0.2">
      <c r="B32" s="58" t="str">
        <f>'Ex 10 Projections'!B15</f>
        <v>Operating income (EBIT)</v>
      </c>
      <c r="D32" s="85">
        <f t="shared" ref="D32:I32" si="3">D30-D28</f>
        <v>1498.4299999999998</v>
      </c>
      <c r="E32" s="85">
        <f t="shared" si="3"/>
        <v>1213.5999999999999</v>
      </c>
      <c r="F32" s="85">
        <f t="shared" si="3"/>
        <v>1247.1999999999998</v>
      </c>
      <c r="G32" s="85">
        <f t="shared" si="3"/>
        <v>1226.0800000000008</v>
      </c>
      <c r="H32" s="85">
        <f t="shared" si="3"/>
        <v>1460.1</v>
      </c>
      <c r="I32" s="85">
        <f t="shared" si="3"/>
        <v>1533.0000000000005</v>
      </c>
      <c r="J32" s="61"/>
      <c r="K32" s="61"/>
    </row>
    <row r="33" spans="2:11" x14ac:dyDescent="0.2">
      <c r="B33" s="58" t="str">
        <f>'Ex 10 Projections'!B22</f>
        <v>CAPEX</v>
      </c>
      <c r="D33" s="104">
        <f>'Ex 10 Projections'!D22</f>
        <v>354.1</v>
      </c>
      <c r="E33" s="104">
        <f>'Ex 10 Projections'!E22</f>
        <v>249.4</v>
      </c>
      <c r="F33" s="104">
        <f>'Ex 10 Projections'!F22</f>
        <v>262.31</v>
      </c>
      <c r="G33" s="104">
        <f>'Ex 10 Projections'!G22</f>
        <v>263.81</v>
      </c>
      <c r="H33" s="104">
        <f>'Ex 10 Projections'!H22</f>
        <v>320.49</v>
      </c>
      <c r="I33" s="104">
        <f>'Ex 10 Projections'!I22</f>
        <v>345.07</v>
      </c>
      <c r="J33" s="61"/>
      <c r="K33" s="61"/>
    </row>
    <row r="34" spans="2:11" x14ac:dyDescent="0.2">
      <c r="B34" s="59" t="str">
        <f>'Ex 10 Projections'!B23</f>
        <v>Change in net working capital (NWC)</v>
      </c>
      <c r="C34" s="59"/>
      <c r="D34" s="105">
        <f>'Ex 10 Projections'!D23</f>
        <v>-152.6</v>
      </c>
      <c r="E34" s="105">
        <f>'Ex 10 Projections'!E23</f>
        <v>227.87</v>
      </c>
      <c r="F34" s="105">
        <f>'Ex 10 Projections'!F23</f>
        <v>6.07</v>
      </c>
      <c r="G34" s="105">
        <f>'Ex 10 Projections'!G23</f>
        <v>22.91</v>
      </c>
      <c r="H34" s="105">
        <f>'Ex 10 Projections'!H23</f>
        <v>23.63</v>
      </c>
      <c r="I34" s="105">
        <f>'Ex 10 Projections'!I23</f>
        <v>29.72</v>
      </c>
    </row>
    <row r="35" spans="2:11" x14ac:dyDescent="0.2">
      <c r="E35" s="64"/>
      <c r="F35" s="64"/>
      <c r="G35" s="64"/>
      <c r="H35" s="64"/>
      <c r="I35" s="64"/>
    </row>
    <row r="36" spans="2:11" ht="16" thickBot="1" x14ac:dyDescent="0.25">
      <c r="B36" s="58" t="s">
        <v>5</v>
      </c>
      <c r="E36" s="106">
        <f>E32*(1-$D$8)+E28-E33-E34</f>
        <v>682.03199999999993</v>
      </c>
      <c r="F36" s="106">
        <f>F32*(1-$D$8)+F28-F33-F34</f>
        <v>925.44399999999985</v>
      </c>
      <c r="G36" s="106">
        <f>G32*(1-$D$8)+G28-G33-G34</f>
        <v>908.11160000000075</v>
      </c>
      <c r="H36" s="106">
        <f>H32*(1-$D$8)+H28-H33-H34</f>
        <v>1032.6669999999999</v>
      </c>
      <c r="I36" s="106">
        <f>I32*(1-$D$8)+I28-I33-I34</f>
        <v>1069.4900000000002</v>
      </c>
    </row>
    <row r="37" spans="2:11" ht="16" thickTop="1" x14ac:dyDescent="0.2">
      <c r="B37" s="58" t="s">
        <v>137</v>
      </c>
      <c r="E37" s="131">
        <f>E13</f>
        <v>4315.29</v>
      </c>
      <c r="F37" s="131">
        <f>E37-E38</f>
        <v>4099.5254999999997</v>
      </c>
      <c r="G37" s="131">
        <f>F37-F38</f>
        <v>3883.7609999999995</v>
      </c>
      <c r="H37" s="131">
        <f>G37-G38</f>
        <v>3667.9964999999993</v>
      </c>
      <c r="I37" s="131">
        <f>H37-H38</f>
        <v>3452.2319999999991</v>
      </c>
    </row>
    <row r="38" spans="2:11" x14ac:dyDescent="0.2">
      <c r="B38" s="58" t="s">
        <v>141</v>
      </c>
      <c r="E38" s="131">
        <f>$J$16*$E$37</f>
        <v>215.7645</v>
      </c>
      <c r="F38" s="131">
        <f>$J$16*$E$37</f>
        <v>215.7645</v>
      </c>
      <c r="G38" s="131">
        <f>$J$16*$E$37</f>
        <v>215.7645</v>
      </c>
      <c r="H38" s="131">
        <f>$J$16*$E$37</f>
        <v>215.7645</v>
      </c>
      <c r="I38" s="131">
        <f>$J$16*$E$37</f>
        <v>215.7645</v>
      </c>
    </row>
    <row r="39" spans="2:11" x14ac:dyDescent="0.2">
      <c r="B39" s="58" t="s">
        <v>126</v>
      </c>
      <c r="E39" s="131">
        <f>$F$13*E37</f>
        <v>237.34094999999999</v>
      </c>
      <c r="F39" s="131">
        <f>$F$13*F37</f>
        <v>225.47390249999998</v>
      </c>
      <c r="G39" s="131">
        <f>$F$13*G37</f>
        <v>213.60685499999997</v>
      </c>
      <c r="H39" s="131">
        <f>$F$13*H37</f>
        <v>201.73980749999996</v>
      </c>
      <c r="I39" s="131">
        <f>$F$13*I37</f>
        <v>189.87275999999994</v>
      </c>
    </row>
    <row r="40" spans="2:11" x14ac:dyDescent="0.2">
      <c r="E40" s="131"/>
      <c r="F40" s="131"/>
      <c r="G40" s="131"/>
      <c r="H40" s="131"/>
      <c r="I40" s="131"/>
    </row>
    <row r="41" spans="2:11" x14ac:dyDescent="0.2">
      <c r="B41" s="58" t="s">
        <v>128</v>
      </c>
      <c r="E41" s="131">
        <f>E38+E39</f>
        <v>453.10545000000002</v>
      </c>
      <c r="F41" s="131">
        <f>F38+F39</f>
        <v>441.23840250000001</v>
      </c>
      <c r="G41" s="131">
        <f>G38+G39</f>
        <v>429.37135499999999</v>
      </c>
      <c r="H41" s="131">
        <f>H38+H39</f>
        <v>417.50430749999998</v>
      </c>
      <c r="I41" s="131">
        <f>I38+I39</f>
        <v>405.63725999999997</v>
      </c>
    </row>
    <row r="42" spans="2:11" x14ac:dyDescent="0.2">
      <c r="B42" s="58" t="s">
        <v>129</v>
      </c>
      <c r="E42" s="131">
        <f>E39*$D$8</f>
        <v>54.588418500000003</v>
      </c>
      <c r="F42" s="131">
        <f>F39*$D$8</f>
        <v>51.858997574999997</v>
      </c>
      <c r="G42" s="131">
        <f>G39*$D$8</f>
        <v>49.129576649999997</v>
      </c>
      <c r="H42" s="131">
        <f>H39*$D$8</f>
        <v>46.400155724999991</v>
      </c>
      <c r="I42" s="131">
        <f>I39*$D$8</f>
        <v>43.670734799999991</v>
      </c>
    </row>
    <row r="43" spans="2:11" x14ac:dyDescent="0.2">
      <c r="B43" s="59" t="s">
        <v>130</v>
      </c>
      <c r="C43" s="59"/>
      <c r="D43" s="59"/>
      <c r="E43" s="137">
        <f>E36-E41+E42</f>
        <v>283.5149684999999</v>
      </c>
      <c r="F43" s="137">
        <f>F36-F41+F42</f>
        <v>536.06459507499983</v>
      </c>
      <c r="G43" s="137">
        <f>G36-G41+G42</f>
        <v>527.86982165000074</v>
      </c>
      <c r="H43" s="137">
        <f>H36-H41+H42</f>
        <v>661.56284822499993</v>
      </c>
      <c r="I43" s="137">
        <f>I36-I41+I42</f>
        <v>707.52347480000026</v>
      </c>
    </row>
    <row r="44" spans="2:11" x14ac:dyDescent="0.2">
      <c r="B44" s="63" t="s">
        <v>131</v>
      </c>
      <c r="C44" s="63"/>
      <c r="D44" s="63"/>
      <c r="E44" s="136">
        <f>(E41+E43)/E41</f>
        <v>1.6257152027193666</v>
      </c>
      <c r="F44" s="134">
        <f>(F41+F43)/F41</f>
        <v>2.2149092010979254</v>
      </c>
      <c r="G44" s="134">
        <f>(G41+G43)/G41</f>
        <v>2.2294015786171872</v>
      </c>
      <c r="H44" s="134">
        <f>(H41+H43)/H41</f>
        <v>2.5845653238559696</v>
      </c>
      <c r="I44" s="134">
        <f>(I41+I43)/I41</f>
        <v>2.7442270337788996</v>
      </c>
    </row>
    <row r="45" spans="2:11" x14ac:dyDescent="0.2">
      <c r="E45" s="133"/>
      <c r="F45" s="131"/>
      <c r="G45" s="131"/>
      <c r="H45" s="131"/>
      <c r="I45" s="131"/>
    </row>
    <row r="46" spans="2:11" x14ac:dyDescent="0.2">
      <c r="B46" s="58" t="s">
        <v>4</v>
      </c>
      <c r="E46" s="133"/>
      <c r="F46" s="131"/>
      <c r="G46" s="131"/>
      <c r="H46" s="131"/>
      <c r="I46" s="131"/>
    </row>
    <row r="47" spans="2:11" x14ac:dyDescent="0.2">
      <c r="B47" s="58" t="s">
        <v>5</v>
      </c>
      <c r="E47" s="133">
        <f>E43</f>
        <v>283.5149684999999</v>
      </c>
      <c r="F47" s="133">
        <f>F43</f>
        <v>536.06459507499983</v>
      </c>
      <c r="G47" s="133">
        <f>G43</f>
        <v>527.86982165000074</v>
      </c>
      <c r="H47" s="133">
        <f>H43</f>
        <v>661.56284822499993</v>
      </c>
      <c r="I47" s="133">
        <f>I43</f>
        <v>707.52347480000026</v>
      </c>
    </row>
    <row r="48" spans="2:11" x14ac:dyDescent="0.2">
      <c r="B48" s="58" t="s">
        <v>132</v>
      </c>
      <c r="E48" s="133"/>
      <c r="F48" s="131"/>
      <c r="G48" s="131"/>
      <c r="H48" s="131"/>
      <c r="I48" s="131"/>
    </row>
    <row r="49" spans="2:9" x14ac:dyDescent="0.2">
      <c r="B49" s="58" t="s">
        <v>126</v>
      </c>
      <c r="E49" s="133">
        <f>$F$14*$E$14</f>
        <v>161.823375</v>
      </c>
      <c r="F49" s="133">
        <f>$F$14*$E$14</f>
        <v>161.823375</v>
      </c>
      <c r="G49" s="133">
        <f>$F$14*$E$14</f>
        <v>161.823375</v>
      </c>
      <c r="H49" s="133">
        <f>$F$14*$E$14</f>
        <v>161.823375</v>
      </c>
      <c r="I49" s="133">
        <f>$F$14*$E$14</f>
        <v>161.823375</v>
      </c>
    </row>
    <row r="50" spans="2:9" x14ac:dyDescent="0.2">
      <c r="E50" s="131"/>
      <c r="F50" s="131"/>
      <c r="G50" s="131"/>
      <c r="H50" s="131"/>
      <c r="I50" s="131"/>
    </row>
    <row r="51" spans="2:9" x14ac:dyDescent="0.2">
      <c r="B51" s="58" t="s">
        <v>128</v>
      </c>
      <c r="E51" s="131">
        <f>E49</f>
        <v>161.823375</v>
      </c>
      <c r="F51" s="131">
        <f>F49</f>
        <v>161.823375</v>
      </c>
      <c r="G51" s="131">
        <f>G49</f>
        <v>161.823375</v>
      </c>
      <c r="H51" s="131">
        <f>H49</f>
        <v>161.823375</v>
      </c>
      <c r="I51" s="131">
        <f>I49</f>
        <v>161.823375</v>
      </c>
    </row>
    <row r="52" spans="2:9" x14ac:dyDescent="0.2">
      <c r="B52" s="58" t="s">
        <v>125</v>
      </c>
      <c r="E52" s="131">
        <f>E49*$D$8</f>
        <v>37.219376250000003</v>
      </c>
      <c r="F52" s="131">
        <f>F49*$D$8</f>
        <v>37.219376250000003</v>
      </c>
      <c r="G52" s="131">
        <f>G49*$D$8</f>
        <v>37.219376250000003</v>
      </c>
      <c r="H52" s="131">
        <f>H49*$D$8</f>
        <v>37.219376250000003</v>
      </c>
      <c r="I52" s="131">
        <f>I49*$D$8</f>
        <v>37.219376250000003</v>
      </c>
    </row>
    <row r="53" spans="2:9" x14ac:dyDescent="0.2">
      <c r="B53" s="59" t="s">
        <v>134</v>
      </c>
      <c r="C53" s="59"/>
      <c r="D53" s="59"/>
      <c r="E53" s="137">
        <f>E47-E51+E52</f>
        <v>158.91096974999991</v>
      </c>
      <c r="F53" s="137">
        <f>F47-F51+F52</f>
        <v>411.46059632499981</v>
      </c>
      <c r="G53" s="137">
        <f>G47-G51+G52</f>
        <v>403.26582290000073</v>
      </c>
      <c r="H53" s="137">
        <f>H47-H51+H52</f>
        <v>536.95884947499997</v>
      </c>
      <c r="I53" s="137">
        <f>I47-I51+I52</f>
        <v>582.9194760500003</v>
      </c>
    </row>
    <row r="54" spans="2:9" x14ac:dyDescent="0.2">
      <c r="B54" s="135" t="s">
        <v>131</v>
      </c>
      <c r="C54" s="135"/>
      <c r="D54" s="135"/>
      <c r="E54" s="139">
        <f>(E51+E53)/E51</f>
        <v>1.9820025676142268</v>
      </c>
      <c r="F54" s="139">
        <f>(F51+F53)/F51</f>
        <v>3.542652421660343</v>
      </c>
      <c r="G54" s="139">
        <f>(G51+G53)/G51</f>
        <v>3.4920121885976037</v>
      </c>
      <c r="H54" s="139">
        <f>(H51+H53)/H51</f>
        <v>4.3181785355484026</v>
      </c>
      <c r="I54" s="139">
        <f>(I51+I53)/I51</f>
        <v>4.6021957646724418</v>
      </c>
    </row>
    <row r="55" spans="2:9" x14ac:dyDescent="0.2">
      <c r="B55" s="63"/>
      <c r="C55" s="63"/>
      <c r="D55" s="63"/>
      <c r="E55" s="131"/>
      <c r="F55" s="131"/>
      <c r="G55" s="131"/>
      <c r="H55" s="131"/>
      <c r="I55" s="131"/>
    </row>
    <row r="56" spans="2:9" x14ac:dyDescent="0.2">
      <c r="B56" s="63" t="s">
        <v>75</v>
      </c>
      <c r="C56" s="63"/>
      <c r="D56" s="63"/>
      <c r="E56" s="131">
        <f>E53</f>
        <v>158.91096974999991</v>
      </c>
      <c r="F56" s="131">
        <f>F53</f>
        <v>411.46059632499981</v>
      </c>
      <c r="G56" s="131">
        <f>G53</f>
        <v>403.26582290000073</v>
      </c>
      <c r="H56" s="131">
        <f>H53</f>
        <v>536.95884947499997</v>
      </c>
      <c r="I56" s="131">
        <f>I53</f>
        <v>582.9194760500003</v>
      </c>
    </row>
    <row r="57" spans="2:9" x14ac:dyDescent="0.2">
      <c r="B57" s="63" t="s">
        <v>126</v>
      </c>
      <c r="C57" s="63"/>
      <c r="D57" s="63"/>
      <c r="E57" s="131">
        <f>$F$15*$E$15</f>
        <v>158.22730000000001</v>
      </c>
      <c r="F57" s="131">
        <f>$F$15*$E$15</f>
        <v>158.22730000000001</v>
      </c>
      <c r="G57" s="131">
        <f>$F$15*$E$15</f>
        <v>158.22730000000001</v>
      </c>
      <c r="H57" s="131">
        <f>$F$15*$E$15</f>
        <v>158.22730000000001</v>
      </c>
      <c r="I57" s="131">
        <f>$F$15*$E$15</f>
        <v>158.22730000000001</v>
      </c>
    </row>
    <row r="58" spans="2:9" x14ac:dyDescent="0.2">
      <c r="B58" s="63" t="s">
        <v>128</v>
      </c>
      <c r="C58" s="63"/>
      <c r="D58" s="63"/>
      <c r="E58" s="131">
        <f>E57</f>
        <v>158.22730000000001</v>
      </c>
      <c r="F58" s="131">
        <f>F57</f>
        <v>158.22730000000001</v>
      </c>
      <c r="G58" s="131">
        <f>G57</f>
        <v>158.22730000000001</v>
      </c>
      <c r="H58" s="131">
        <f>H57</f>
        <v>158.22730000000001</v>
      </c>
      <c r="I58" s="131">
        <f>I57</f>
        <v>158.22730000000001</v>
      </c>
    </row>
    <row r="59" spans="2:9" x14ac:dyDescent="0.2">
      <c r="B59" s="63" t="s">
        <v>125</v>
      </c>
      <c r="C59" s="63"/>
      <c r="D59" s="63"/>
      <c r="E59" s="131">
        <f>E58*$D$8</f>
        <v>36.392279000000002</v>
      </c>
      <c r="F59" s="131">
        <f>F58*$D$8</f>
        <v>36.392279000000002</v>
      </c>
      <c r="G59" s="131">
        <f>G58*$D$8</f>
        <v>36.392279000000002</v>
      </c>
      <c r="H59" s="131">
        <f>H58*$D$8</f>
        <v>36.392279000000002</v>
      </c>
      <c r="I59" s="131">
        <f>I58*$D$8</f>
        <v>36.392279000000002</v>
      </c>
    </row>
    <row r="60" spans="2:9" x14ac:dyDescent="0.2">
      <c r="B60" s="62" t="s">
        <v>134</v>
      </c>
      <c r="C60" s="62"/>
      <c r="D60" s="62"/>
      <c r="E60" s="137">
        <f>E56-E58+E59</f>
        <v>37.075948749999895</v>
      </c>
      <c r="F60" s="137">
        <f>F56-F58+F59</f>
        <v>289.62557532499977</v>
      </c>
      <c r="G60" s="137">
        <f>G56-G58+G59</f>
        <v>281.43080190000069</v>
      </c>
      <c r="H60" s="137">
        <f>H56-H58+H59</f>
        <v>415.12382847499998</v>
      </c>
      <c r="I60" s="137">
        <f>I56-I58+I59</f>
        <v>461.08445505000032</v>
      </c>
    </row>
    <row r="61" spans="2:9" x14ac:dyDescent="0.2">
      <c r="B61" s="63" t="s">
        <v>131</v>
      </c>
      <c r="C61" s="63"/>
      <c r="D61" s="63"/>
      <c r="E61" s="134">
        <f>(E60+E58)/E58</f>
        <v>1.2343208077872776</v>
      </c>
      <c r="F61" s="134">
        <f>(F60+F58)/F58</f>
        <v>2.8304399766980777</v>
      </c>
      <c r="G61" s="134">
        <f>(G60+G58)/G58</f>
        <v>2.7786488292475489</v>
      </c>
      <c r="H61" s="134">
        <f>(H60+H58)/H58</f>
        <v>3.6235916840835931</v>
      </c>
      <c r="I61" s="134">
        <f>(I60+I58)/I58</f>
        <v>3.914063850233179</v>
      </c>
    </row>
    <row r="62" spans="2:9" x14ac:dyDescent="0.2">
      <c r="B62" s="63"/>
      <c r="C62" s="63"/>
      <c r="D62" s="63"/>
      <c r="E62" s="63"/>
      <c r="F62" s="63"/>
      <c r="G62" s="63"/>
      <c r="H62" s="63"/>
      <c r="I62" s="63"/>
    </row>
    <row r="63" spans="2:9" ht="9" customHeight="1" x14ac:dyDescent="0.2">
      <c r="E63" s="64"/>
      <c r="F63" s="64"/>
      <c r="G63" s="64"/>
      <c r="H63" s="64"/>
      <c r="I63" s="64"/>
    </row>
    <row r="64" spans="2:9" ht="9" customHeight="1" x14ac:dyDescent="0.2">
      <c r="E64" s="64"/>
      <c r="F64" s="64"/>
      <c r="G64" s="64"/>
      <c r="H64" s="64"/>
      <c r="I64" s="64"/>
    </row>
    <row r="65" spans="2:9" x14ac:dyDescent="0.2">
      <c r="B65" s="63" t="s">
        <v>80</v>
      </c>
      <c r="E65" s="64"/>
      <c r="F65" s="64"/>
      <c r="G65" s="64"/>
      <c r="H65" s="64"/>
      <c r="I65" s="64"/>
    </row>
    <row r="66" spans="2:9" x14ac:dyDescent="0.2">
      <c r="B66" s="87" t="s">
        <v>3</v>
      </c>
      <c r="E66" s="64"/>
      <c r="F66" s="64"/>
      <c r="G66" s="64"/>
      <c r="H66" s="64"/>
      <c r="I66" s="64"/>
    </row>
    <row r="67" spans="2:9" x14ac:dyDescent="0.2">
      <c r="B67" s="58" t="s">
        <v>81</v>
      </c>
      <c r="E67" s="64">
        <f>E13</f>
        <v>4315.29</v>
      </c>
      <c r="F67" s="64">
        <f>E72</f>
        <v>4099.5254999999997</v>
      </c>
      <c r="G67" s="64">
        <f>F72</f>
        <v>3589.8230115349998</v>
      </c>
      <c r="H67" s="64">
        <f>G72</f>
        <v>3078.217474840706</v>
      </c>
      <c r="I67" s="64">
        <f>H72</f>
        <v>2422.7875048677543</v>
      </c>
    </row>
    <row r="68" spans="2:9" x14ac:dyDescent="0.2">
      <c r="B68" s="58" t="s">
        <v>6</v>
      </c>
      <c r="E68" s="100">
        <f>E67*$F$13</f>
        <v>237.34094999999999</v>
      </c>
      <c r="F68" s="100">
        <f>F67*$F$13</f>
        <v>225.47390249999998</v>
      </c>
      <c r="G68" s="100">
        <f>G67*$F$13</f>
        <v>197.44026563442497</v>
      </c>
      <c r="H68" s="100">
        <f>H67*$F$13</f>
        <v>169.30196111623883</v>
      </c>
      <c r="I68" s="100">
        <f>I67*$F$13</f>
        <v>133.2533127677265</v>
      </c>
    </row>
    <row r="69" spans="2:9" x14ac:dyDescent="0.2">
      <c r="B69" s="58" t="s">
        <v>7</v>
      </c>
      <c r="E69" s="100">
        <f>IF(E67&gt;E90, E90, E67)</f>
        <v>259.45722674999996</v>
      </c>
      <c r="F69" s="100">
        <f>IF(F67&gt;F90, F90, F67)</f>
        <v>509.70248846499987</v>
      </c>
      <c r="G69" s="100">
        <f>IF(G67&gt;G90, G90, G67)</f>
        <v>511.60553669429351</v>
      </c>
      <c r="H69" s="100">
        <f>IF(H67&gt;H90, H90, H67)</f>
        <v>655.42996997295199</v>
      </c>
      <c r="I69" s="100">
        <f>IF(I67&gt;I90, I90, I67)</f>
        <v>717.56501877695598</v>
      </c>
    </row>
    <row r="70" spans="2:9" x14ac:dyDescent="0.2">
      <c r="B70" s="58" t="s">
        <v>140</v>
      </c>
      <c r="E70" s="100">
        <f>$J$16*$E$13</f>
        <v>215.7645</v>
      </c>
      <c r="F70" s="100">
        <f>$J$16*$E$13</f>
        <v>215.7645</v>
      </c>
      <c r="G70" s="100">
        <f>$J$16*$E$13</f>
        <v>215.7645</v>
      </c>
      <c r="H70" s="100">
        <f>$J$16*$E$13</f>
        <v>215.7645</v>
      </c>
      <c r="I70" s="100">
        <f>$J$16*$E$13</f>
        <v>215.7645</v>
      </c>
    </row>
    <row r="71" spans="2:9" x14ac:dyDescent="0.2">
      <c r="B71" s="58" t="s">
        <v>139</v>
      </c>
      <c r="E71" s="100">
        <f>IF(E69&gt;288, E69-288, 0)</f>
        <v>0</v>
      </c>
      <c r="F71" s="100">
        <f>IF(F69&gt;288, F69-288, 0)</f>
        <v>221.70248846499987</v>
      </c>
      <c r="G71" s="100">
        <f>IF(G69&gt;288, G69-288, 0)</f>
        <v>223.60553669429351</v>
      </c>
      <c r="H71" s="100">
        <f>IF(H69&gt;288, H69-288, 0)</f>
        <v>367.42996997295199</v>
      </c>
      <c r="I71" s="100">
        <f>IF(I69&gt;288, I69-288, 0)</f>
        <v>429.56501877695598</v>
      </c>
    </row>
    <row r="72" spans="2:9" x14ac:dyDescent="0.2">
      <c r="B72" s="58" t="s">
        <v>82</v>
      </c>
      <c r="E72" s="64">
        <f>E67-(E70+E71)</f>
        <v>4099.5254999999997</v>
      </c>
      <c r="F72" s="64">
        <f>F67-F69</f>
        <v>3589.8230115349998</v>
      </c>
      <c r="G72" s="64">
        <f>G67-G69</f>
        <v>3078.217474840706</v>
      </c>
      <c r="H72" s="64">
        <f>H67-H69</f>
        <v>2422.7875048677543</v>
      </c>
      <c r="I72" s="64">
        <f>I67-I69</f>
        <v>1705.2224860907982</v>
      </c>
    </row>
    <row r="73" spans="2:9" x14ac:dyDescent="0.2">
      <c r="E73" s="86"/>
      <c r="F73" s="86"/>
      <c r="G73" s="86"/>
      <c r="H73" s="86"/>
      <c r="I73" s="86"/>
    </row>
    <row r="74" spans="2:9" x14ac:dyDescent="0.2">
      <c r="B74" s="87" t="s">
        <v>4</v>
      </c>
      <c r="E74" s="64"/>
      <c r="F74" s="64"/>
      <c r="G74" s="64"/>
      <c r="H74" s="64"/>
      <c r="I74" s="64"/>
    </row>
    <row r="75" spans="2:9" x14ac:dyDescent="0.2">
      <c r="B75" s="58" t="s">
        <v>83</v>
      </c>
      <c r="E75" s="64">
        <f>E14</f>
        <v>2157.645</v>
      </c>
      <c r="F75" s="64">
        <f>E78</f>
        <v>2157.645</v>
      </c>
      <c r="G75" s="64">
        <f>F78</f>
        <v>2157.645</v>
      </c>
      <c r="H75" s="64">
        <f>G78</f>
        <v>2157.645</v>
      </c>
      <c r="I75" s="64">
        <f>H78</f>
        <v>2157.645</v>
      </c>
    </row>
    <row r="76" spans="2:9" x14ac:dyDescent="0.2">
      <c r="B76" s="58" t="s">
        <v>6</v>
      </c>
      <c r="E76" s="100">
        <f>E75*$F$14</f>
        <v>161.823375</v>
      </c>
      <c r="F76" s="100">
        <f>F75*$F$14</f>
        <v>161.823375</v>
      </c>
      <c r="G76" s="100">
        <f>G75*$F$14</f>
        <v>161.823375</v>
      </c>
      <c r="H76" s="100">
        <f>H75*$F$14</f>
        <v>161.823375</v>
      </c>
      <c r="I76" s="100">
        <f>I75*$F$14</f>
        <v>161.823375</v>
      </c>
    </row>
    <row r="77" spans="2:9" x14ac:dyDescent="0.2">
      <c r="B77" s="58" t="s">
        <v>7</v>
      </c>
      <c r="E77" s="100">
        <f>E69-E90</f>
        <v>0</v>
      </c>
      <c r="F77" s="100">
        <f>F69-F90</f>
        <v>0</v>
      </c>
      <c r="G77" s="100">
        <f>G69-G90</f>
        <v>0</v>
      </c>
      <c r="H77" s="100">
        <f>H69-H90</f>
        <v>0</v>
      </c>
      <c r="I77" s="100">
        <f>I69-I90</f>
        <v>0</v>
      </c>
    </row>
    <row r="78" spans="2:9" x14ac:dyDescent="0.2">
      <c r="B78" s="58" t="s">
        <v>8</v>
      </c>
      <c r="E78" s="64">
        <f>E75-E77</f>
        <v>2157.645</v>
      </c>
      <c r="F78" s="64">
        <f>F75-F77</f>
        <v>2157.645</v>
      </c>
      <c r="G78" s="64">
        <f>G75-G77</f>
        <v>2157.645</v>
      </c>
      <c r="H78" s="64">
        <f>H75-H77</f>
        <v>2157.645</v>
      </c>
      <c r="I78" s="64">
        <f>I75-I77</f>
        <v>2157.645</v>
      </c>
    </row>
    <row r="80" spans="2:9" x14ac:dyDescent="0.2">
      <c r="B80" s="58" t="s">
        <v>103</v>
      </c>
      <c r="E80" s="105">
        <f>E36-E68-E76</f>
        <v>282.86767499999991</v>
      </c>
      <c r="F80" s="105">
        <f>F36-F68-F76</f>
        <v>538.1467224999999</v>
      </c>
      <c r="G80" s="105">
        <f>G36-G68-G76</f>
        <v>548.84795936557589</v>
      </c>
      <c r="H80" s="105">
        <f>H36-H68-H76</f>
        <v>701.5416638837612</v>
      </c>
      <c r="I80" s="105">
        <f>I36-I68-I76</f>
        <v>774.41331223227371</v>
      </c>
    </row>
    <row r="81" spans="2:9" x14ac:dyDescent="0.2">
      <c r="B81"/>
      <c r="E81" s="64"/>
      <c r="F81" s="64"/>
      <c r="G81" s="64"/>
      <c r="H81" s="64"/>
      <c r="I81" s="64"/>
    </row>
    <row r="82" spans="2:9" x14ac:dyDescent="0.2">
      <c r="B82" s="87" t="s">
        <v>75</v>
      </c>
      <c r="E82" s="64"/>
      <c r="F82" s="64"/>
      <c r="G82" s="64"/>
      <c r="H82" s="64"/>
      <c r="I82" s="64"/>
    </row>
    <row r="83" spans="2:9" x14ac:dyDescent="0.2">
      <c r="B83" s="58" t="s">
        <v>83</v>
      </c>
      <c r="E83" s="64">
        <f>E15</f>
        <v>1438.43</v>
      </c>
      <c r="F83" s="64">
        <f>E86</f>
        <v>1467.1986000000002</v>
      </c>
      <c r="G83" s="64">
        <f>F86</f>
        <v>1496.5425720000001</v>
      </c>
      <c r="H83" s="64">
        <f>G86</f>
        <v>1526.47342344</v>
      </c>
      <c r="I83" s="64">
        <f>H86</f>
        <v>1557.0028919087999</v>
      </c>
    </row>
    <row r="84" spans="2:9" x14ac:dyDescent="0.2">
      <c r="B84" s="58" t="s">
        <v>6</v>
      </c>
      <c r="E84" s="100">
        <f>E83*$F$15</f>
        <v>158.22730000000001</v>
      </c>
      <c r="F84" s="100">
        <f>F83*$F$15</f>
        <v>161.39184600000002</v>
      </c>
      <c r="G84" s="100">
        <f>G83*$F$15</f>
        <v>164.61968292</v>
      </c>
      <c r="H84" s="100">
        <f>H83*$F$15</f>
        <v>167.91207657840002</v>
      </c>
      <c r="I84" s="100">
        <f>I83*$F$15</f>
        <v>171.270318109968</v>
      </c>
    </row>
    <row r="85" spans="2:9" x14ac:dyDescent="0.2">
      <c r="B85" s="58" t="s">
        <v>33</v>
      </c>
      <c r="E85" s="100">
        <f>E83*$G$15</f>
        <v>28.768600000000003</v>
      </c>
      <c r="F85" s="100">
        <f>F83*$G$15</f>
        <v>29.343972000000004</v>
      </c>
      <c r="G85" s="100">
        <f>G83*$G$15</f>
        <v>29.930851440000001</v>
      </c>
      <c r="H85" s="100">
        <f>H83*$G$15</f>
        <v>30.529468468800001</v>
      </c>
      <c r="I85" s="100">
        <f>I83*$G$15</f>
        <v>31.140057838175998</v>
      </c>
    </row>
    <row r="86" spans="2:9" x14ac:dyDescent="0.2">
      <c r="B86" s="58" t="s">
        <v>8</v>
      </c>
      <c r="E86" s="64">
        <f>E83+E85</f>
        <v>1467.1986000000002</v>
      </c>
      <c r="F86" s="64">
        <f>F83+F85</f>
        <v>1496.5425720000001</v>
      </c>
      <c r="G86" s="64">
        <f>G83+G85</f>
        <v>1526.47342344</v>
      </c>
      <c r="H86" s="64">
        <f>H83+H85</f>
        <v>1557.0028919087999</v>
      </c>
      <c r="I86" s="64">
        <f>I83+I85</f>
        <v>1588.142949746976</v>
      </c>
    </row>
    <row r="87" spans="2:9" x14ac:dyDescent="0.2">
      <c r="E87" s="107"/>
      <c r="F87" s="107"/>
      <c r="G87" s="107"/>
      <c r="H87" s="107"/>
      <c r="I87" s="107"/>
    </row>
    <row r="88" spans="2:9" x14ac:dyDescent="0.2">
      <c r="B88" s="58" t="s">
        <v>84</v>
      </c>
      <c r="E88" s="100">
        <f>E68+E76+E84</f>
        <v>557.39162499999998</v>
      </c>
      <c r="F88" s="100">
        <f>F68+F76+F84</f>
        <v>548.68912349999994</v>
      </c>
      <c r="G88" s="100">
        <f>G68+G76+G84</f>
        <v>523.88332355442503</v>
      </c>
      <c r="H88" s="100">
        <f>H68+H76+H84</f>
        <v>499.03741269463887</v>
      </c>
      <c r="I88" s="100">
        <f>I68+I76+I84</f>
        <v>466.34700587769453</v>
      </c>
    </row>
    <row r="89" spans="2:9" x14ac:dyDescent="0.2">
      <c r="B89" s="58" t="s">
        <v>85</v>
      </c>
      <c r="E89" s="100">
        <f>(E88+E85)*$D$8</f>
        <v>134.81685175000001</v>
      </c>
      <c r="F89" s="100">
        <f>(F88+F85)*$D$8</f>
        <v>132.94761196499999</v>
      </c>
      <c r="G89" s="100">
        <f>(G88+G85)*$D$8</f>
        <v>127.37726024871776</v>
      </c>
      <c r="H89" s="100">
        <f>(H88+H85)*$D$8</f>
        <v>121.80038266759095</v>
      </c>
      <c r="I89" s="100">
        <f>(I88+I85)*$D$8</f>
        <v>114.42202465465023</v>
      </c>
    </row>
    <row r="90" spans="2:9" x14ac:dyDescent="0.2">
      <c r="B90" s="58" t="s">
        <v>86</v>
      </c>
      <c r="E90" s="100">
        <f>E36-E88+E89</f>
        <v>259.45722674999996</v>
      </c>
      <c r="F90" s="100">
        <f>F36-F88+F89</f>
        <v>509.70248846499987</v>
      </c>
      <c r="G90" s="100">
        <f>G36-G88+G89</f>
        <v>511.60553669429351</v>
      </c>
      <c r="H90" s="100">
        <f>H36-H88+H89</f>
        <v>655.42996997295199</v>
      </c>
      <c r="I90" s="100">
        <f>I36-I88+I89</f>
        <v>717.56501877695598</v>
      </c>
    </row>
    <row r="91" spans="2:9" x14ac:dyDescent="0.2">
      <c r="B91" s="58" t="s">
        <v>87</v>
      </c>
      <c r="E91" s="100">
        <f>E72+E78+E86</f>
        <v>7724.3690999999999</v>
      </c>
      <c r="F91" s="100">
        <f>F72+F78+F86</f>
        <v>7244.0105835350005</v>
      </c>
      <c r="G91" s="100">
        <f>G72+G78+G86</f>
        <v>6762.3358982807058</v>
      </c>
      <c r="H91" s="100">
        <f>H72+H78+H86</f>
        <v>6137.4353967765546</v>
      </c>
      <c r="I91" s="100">
        <f>I72+I78+I86</f>
        <v>5451.0104358377739</v>
      </c>
    </row>
    <row r="92" spans="2:9" x14ac:dyDescent="0.2">
      <c r="E92" s="64"/>
      <c r="F92" s="64"/>
      <c r="G92" s="64"/>
      <c r="H92" s="64"/>
      <c r="I92" s="64"/>
    </row>
    <row r="93" spans="2:9" x14ac:dyDescent="0.2">
      <c r="B93" s="58" t="s">
        <v>100</v>
      </c>
      <c r="E93" s="100">
        <f>D9</f>
        <v>0</v>
      </c>
      <c r="F93" s="100">
        <f>E95</f>
        <v>0</v>
      </c>
      <c r="G93" s="100">
        <f>F95</f>
        <v>0</v>
      </c>
      <c r="H93" s="100">
        <f>G95</f>
        <v>0</v>
      </c>
      <c r="I93" s="100">
        <f>H95</f>
        <v>0</v>
      </c>
    </row>
    <row r="94" spans="2:9" x14ac:dyDescent="0.2">
      <c r="B94" s="58" t="s">
        <v>101</v>
      </c>
      <c r="E94" s="100">
        <f>E36-E88-E69+E89</f>
        <v>0</v>
      </c>
      <c r="F94" s="100">
        <f>F36-F88-F69+F89</f>
        <v>0</v>
      </c>
      <c r="G94" s="100">
        <f>G36-G88-G69+G89</f>
        <v>0</v>
      </c>
      <c r="H94" s="100">
        <f>H36-H88-H69+H89</f>
        <v>0</v>
      </c>
      <c r="I94" s="100">
        <f>I36-I88-I69+I89</f>
        <v>0</v>
      </c>
    </row>
    <row r="95" spans="2:9" ht="16" thickBot="1" x14ac:dyDescent="0.25">
      <c r="B95" s="65" t="s">
        <v>102</v>
      </c>
      <c r="C95" s="65"/>
      <c r="D95" s="65"/>
      <c r="E95" s="119">
        <f>E93+E94</f>
        <v>0</v>
      </c>
      <c r="F95" s="119">
        <f>F93+F94</f>
        <v>0</v>
      </c>
      <c r="G95" s="119">
        <f>G93+G94</f>
        <v>0</v>
      </c>
      <c r="H95" s="119">
        <f>H93+H94</f>
        <v>0</v>
      </c>
      <c r="I95" s="119">
        <f>I93+I94</f>
        <v>0</v>
      </c>
    </row>
    <row r="96" spans="2:9" ht="16" thickTop="1" x14ac:dyDescent="0.2">
      <c r="E96" s="64"/>
      <c r="F96" s="64"/>
      <c r="G96" s="64"/>
      <c r="H96" s="64"/>
      <c r="I96" s="64"/>
    </row>
    <row r="97" spans="1:9" x14ac:dyDescent="0.2">
      <c r="B97" s="145" t="s">
        <v>99</v>
      </c>
      <c r="C97" s="145"/>
      <c r="D97" s="145"/>
      <c r="E97" s="145"/>
      <c r="F97" s="145"/>
      <c r="G97" s="145"/>
      <c r="H97" s="145"/>
      <c r="I97" s="145"/>
    </row>
    <row r="98" spans="1:9" x14ac:dyDescent="0.2">
      <c r="B98" s="146" t="s">
        <v>36</v>
      </c>
      <c r="C98" s="146"/>
      <c r="D98" s="146"/>
      <c r="E98" s="146"/>
      <c r="F98" s="146"/>
      <c r="G98" s="146"/>
      <c r="H98" s="146"/>
      <c r="I98" s="146"/>
    </row>
    <row r="99" spans="1:9" ht="16" x14ac:dyDescent="0.2">
      <c r="A99" s="108"/>
      <c r="B99"/>
      <c r="C99"/>
      <c r="D99"/>
      <c r="E99" s="109" t="s">
        <v>96</v>
      </c>
      <c r="F99" s="109"/>
      <c r="G99" s="109"/>
      <c r="H99" s="109"/>
      <c r="I99"/>
    </row>
    <row r="100" spans="1:9" x14ac:dyDescent="0.2">
      <c r="A100"/>
      <c r="B100"/>
      <c r="C100"/>
      <c r="D100" s="113"/>
      <c r="E100" s="114">
        <v>1</v>
      </c>
      <c r="F100" s="114">
        <v>2</v>
      </c>
      <c r="G100" s="114">
        <v>3</v>
      </c>
      <c r="H100" s="114">
        <v>4</v>
      </c>
      <c r="I100" s="114">
        <v>5</v>
      </c>
    </row>
    <row r="101" spans="1:9" x14ac:dyDescent="0.2">
      <c r="A101"/>
      <c r="B101" s="58" t="s">
        <v>97</v>
      </c>
      <c r="D101" s="115">
        <f>I6</f>
        <v>7.5</v>
      </c>
      <c r="E101" s="116">
        <f>E29*$D$101</f>
        <v>10788.224999999999</v>
      </c>
      <c r="F101" s="116">
        <f>F29*$D$101</f>
        <v>11105.099999999999</v>
      </c>
      <c r="G101" s="116">
        <f>G29*$D$101</f>
        <v>11076.225000000006</v>
      </c>
      <c r="H101" s="116">
        <f>H29*$D$101</f>
        <v>12844.574999999999</v>
      </c>
      <c r="I101" s="116">
        <f>I29*$D$101</f>
        <v>13476.525000000003</v>
      </c>
    </row>
    <row r="102" spans="1:9" x14ac:dyDescent="0.2">
      <c r="A102"/>
      <c r="C102"/>
      <c r="D102" s="113"/>
      <c r="E102" s="113"/>
      <c r="F102" s="113"/>
      <c r="G102" s="113"/>
      <c r="H102" s="113"/>
      <c r="I102" s="113"/>
    </row>
    <row r="103" spans="1:9" x14ac:dyDescent="0.2">
      <c r="A103"/>
      <c r="B103" s="58" t="s">
        <v>45</v>
      </c>
      <c r="C103"/>
      <c r="D103" s="113"/>
      <c r="E103" s="117">
        <f>E91</f>
        <v>7724.3690999999999</v>
      </c>
      <c r="F103" s="117">
        <f>F91</f>
        <v>7244.0105835350005</v>
      </c>
      <c r="G103" s="117">
        <f>G91</f>
        <v>6762.3358982807058</v>
      </c>
      <c r="H103" s="117">
        <f>H91</f>
        <v>6137.4353967765546</v>
      </c>
      <c r="I103" s="117">
        <f>I91</f>
        <v>5451.0104358377739</v>
      </c>
    </row>
    <row r="104" spans="1:9" x14ac:dyDescent="0.2">
      <c r="A104"/>
      <c r="B104" s="58" t="s">
        <v>9</v>
      </c>
      <c r="C104"/>
      <c r="D104" s="113"/>
      <c r="E104" s="117">
        <f>E95</f>
        <v>0</v>
      </c>
      <c r="F104" s="117">
        <f>F95</f>
        <v>0</v>
      </c>
      <c r="G104" s="117">
        <f>G95</f>
        <v>0</v>
      </c>
      <c r="H104" s="117">
        <f>H95</f>
        <v>0</v>
      </c>
      <c r="I104" s="117">
        <f>I95</f>
        <v>0</v>
      </c>
    </row>
    <row r="105" spans="1:9" x14ac:dyDescent="0.2">
      <c r="A105"/>
      <c r="B105" s="58" t="s">
        <v>98</v>
      </c>
      <c r="C105"/>
      <c r="D105" s="113"/>
      <c r="E105" s="116">
        <f>E101-E103+E104</f>
        <v>3063.8558999999987</v>
      </c>
      <c r="F105" s="116">
        <f>F101-F103+F104</f>
        <v>3861.0894164649981</v>
      </c>
      <c r="G105" s="116">
        <f>G101-G103+G104</f>
        <v>4313.8891017193</v>
      </c>
      <c r="H105" s="116">
        <f>H101-H103+H104</f>
        <v>6707.1396032234443</v>
      </c>
      <c r="I105" s="116">
        <f>I101-I103+I104</f>
        <v>8025.5145641622294</v>
      </c>
    </row>
    <row r="106" spans="1:9" x14ac:dyDescent="0.2">
      <c r="A106"/>
      <c r="C106"/>
      <c r="D106" s="113"/>
      <c r="E106" s="113"/>
      <c r="F106" s="113"/>
      <c r="G106" s="113"/>
      <c r="H106" s="113"/>
      <c r="I106" s="113"/>
    </row>
    <row r="107" spans="1:9" x14ac:dyDescent="0.2">
      <c r="A107"/>
      <c r="B107" s="58" t="s">
        <v>69</v>
      </c>
      <c r="C107"/>
      <c r="D107" s="113"/>
      <c r="E107" s="118">
        <f>(E105/$E$16)^(1/E100)-1</f>
        <v>6.4999999999999281E-2</v>
      </c>
      <c r="F107" s="118">
        <f>(F105/$E$16)^(1/F100)-1</f>
        <v>0.15849873986318741</v>
      </c>
      <c r="G107" s="118">
        <f>(G105/$E$16)^(1/G100)-1</f>
        <v>0.14459035734690073</v>
      </c>
      <c r="H107" s="118">
        <f>(H105/$E$16)^(1/H100)-1</f>
        <v>0.23567612198389121</v>
      </c>
      <c r="I107" s="118">
        <f>(I105/$E$16)^(1/I100)-1</f>
        <v>0.22775251341168801</v>
      </c>
    </row>
    <row r="108" spans="1:9" x14ac:dyDescent="0.2">
      <c r="A108"/>
      <c r="B108" s="58" t="s">
        <v>106</v>
      </c>
      <c r="C108"/>
      <c r="D108" s="113"/>
      <c r="E108" s="120">
        <f>E105/$E$16</f>
        <v>1.0649999999999993</v>
      </c>
      <c r="F108" s="120">
        <f>F105/$E$16</f>
        <v>1.3421193302645931</v>
      </c>
      <c r="G108" s="120">
        <f>G105/$E$16</f>
        <v>1.4995130460708199</v>
      </c>
      <c r="H108" s="120">
        <f>H105/$E$16</f>
        <v>2.331409802084023</v>
      </c>
      <c r="I108" s="120">
        <f>I105/$E$16</f>
        <v>2.7896785259492041</v>
      </c>
    </row>
    <row r="109" spans="1:9" x14ac:dyDescent="0.2">
      <c r="A109"/>
      <c r="B109" s="107"/>
      <c r="C109" s="107"/>
      <c r="D109" s="107"/>
      <c r="E109" s="107"/>
      <c r="F109" s="107"/>
      <c r="G109" s="107"/>
      <c r="H109" s="107"/>
      <c r="I109" s="107"/>
    </row>
    <row r="110" spans="1:9" x14ac:dyDescent="0.2">
      <c r="A110"/>
    </row>
    <row r="111" spans="1:9" ht="16" x14ac:dyDescent="0.2">
      <c r="A111"/>
      <c r="B111" s="121" t="s">
        <v>114</v>
      </c>
    </row>
    <row r="112" spans="1:9" x14ac:dyDescent="0.2">
      <c r="A112"/>
      <c r="B112" s="58" t="s">
        <v>111</v>
      </c>
      <c r="I112" s="81">
        <v>0.05</v>
      </c>
    </row>
    <row r="113" spans="1:10" x14ac:dyDescent="0.2">
      <c r="A113"/>
      <c r="B113" s="58" t="s">
        <v>112</v>
      </c>
      <c r="I113" s="117">
        <f>+I105*I112</f>
        <v>401.2757282081115</v>
      </c>
    </row>
    <row r="114" spans="1:10" x14ac:dyDescent="0.2">
      <c r="A114"/>
      <c r="B114" s="58" t="s">
        <v>110</v>
      </c>
      <c r="C114"/>
      <c r="D114" s="117">
        <f>-E15</f>
        <v>-1438.43</v>
      </c>
      <c r="E114" s="117">
        <f>E84</f>
        <v>158.22730000000001</v>
      </c>
      <c r="F114" s="117">
        <f>F84</f>
        <v>161.39184600000002</v>
      </c>
      <c r="G114" s="117">
        <f>G84</f>
        <v>164.61968292</v>
      </c>
      <c r="H114" s="117">
        <f>H84</f>
        <v>167.91207657840002</v>
      </c>
      <c r="I114" s="117">
        <f>I84+MIN(I86,I101-I78-I72)+I113</f>
        <v>2160.6889960650556</v>
      </c>
    </row>
    <row r="115" spans="1:10" x14ac:dyDescent="0.2">
      <c r="A115"/>
      <c r="B115" s="58" t="s">
        <v>115</v>
      </c>
      <c r="D115" s="122">
        <f>IRR(D114:I114)</f>
        <v>0.16855566880747674</v>
      </c>
    </row>
    <row r="116" spans="1:10" x14ac:dyDescent="0.2">
      <c r="A116"/>
      <c r="B116" s="58" t="s">
        <v>116</v>
      </c>
      <c r="D116" s="123">
        <f>SUM(E114:I114)/-D114</f>
        <v>1.9554930733949203</v>
      </c>
    </row>
    <row r="117" spans="1:10" x14ac:dyDescent="0.2">
      <c r="A117"/>
    </row>
    <row r="118" spans="1:10" ht="16" x14ac:dyDescent="0.2">
      <c r="A118"/>
      <c r="B118" s="121" t="s">
        <v>113</v>
      </c>
    </row>
    <row r="119" spans="1:10" x14ac:dyDescent="0.2">
      <c r="A119"/>
      <c r="B119" s="58" t="s">
        <v>117</v>
      </c>
      <c r="D119" s="117">
        <f>-E16</f>
        <v>-2876.8600000000006</v>
      </c>
      <c r="E119" s="117">
        <v>0</v>
      </c>
      <c r="F119" s="117">
        <v>0</v>
      </c>
      <c r="G119" s="117">
        <v>0</v>
      </c>
      <c r="H119" s="117">
        <v>0</v>
      </c>
      <c r="I119" s="117">
        <f>I105-I113</f>
        <v>7624.2388359541183</v>
      </c>
    </row>
    <row r="120" spans="1:10" x14ac:dyDescent="0.2">
      <c r="A120"/>
      <c r="B120" s="58" t="s">
        <v>118</v>
      </c>
      <c r="D120" s="122">
        <f>IRR(D119:I119)</f>
        <v>0.21522180322545936</v>
      </c>
    </row>
    <row r="121" spans="1:10" x14ac:dyDescent="0.2">
      <c r="A121"/>
      <c r="B121" s="58" t="s">
        <v>119</v>
      </c>
      <c r="C121"/>
      <c r="D121" s="123">
        <f>SUM(E119:I119)/-D119</f>
        <v>2.6501945996517442</v>
      </c>
    </row>
    <row r="122" spans="1:10" ht="16" thickBot="1" x14ac:dyDescent="0.25">
      <c r="A122"/>
      <c r="B122" s="65"/>
      <c r="C122" s="65"/>
      <c r="D122" s="65"/>
      <c r="E122" s="110"/>
      <c r="F122" s="110"/>
      <c r="G122" s="110"/>
      <c r="H122" s="110"/>
      <c r="I122" s="110"/>
    </row>
    <row r="123" spans="1:10" ht="16" thickTop="1" x14ac:dyDescent="0.2">
      <c r="A123"/>
    </row>
    <row r="124" spans="1:10" x14ac:dyDescent="0.2">
      <c r="A124"/>
      <c r="B124" s="145" t="s">
        <v>107</v>
      </c>
      <c r="C124" s="145"/>
      <c r="D124" s="145"/>
      <c r="E124" s="145"/>
      <c r="F124" s="145"/>
      <c r="G124" s="145"/>
      <c r="H124" s="145"/>
      <c r="I124" s="145"/>
      <c r="J124"/>
    </row>
    <row r="125" spans="1:10" x14ac:dyDescent="0.2">
      <c r="I125"/>
      <c r="J125"/>
    </row>
    <row r="126" spans="1:10" x14ac:dyDescent="0.2">
      <c r="F126" s="58" t="s">
        <v>114</v>
      </c>
      <c r="I126"/>
      <c r="J126"/>
    </row>
    <row r="127" spans="1:10" x14ac:dyDescent="0.2">
      <c r="C127" s="147" t="s">
        <v>67</v>
      </c>
      <c r="D127" s="147"/>
      <c r="E127" s="147"/>
      <c r="F127" s="147"/>
      <c r="G127" s="147"/>
      <c r="H127" s="147"/>
      <c r="I127" s="147"/>
    </row>
    <row r="128" spans="1:10" x14ac:dyDescent="0.2">
      <c r="B128" s="82"/>
      <c r="C128" s="124" t="s">
        <v>10</v>
      </c>
      <c r="D128" s="124"/>
      <c r="E128" s="124"/>
      <c r="F128" s="124"/>
      <c r="G128" s="124"/>
      <c r="H128" s="124"/>
      <c r="I128" s="73"/>
    </row>
    <row r="129" spans="2:9" x14ac:dyDescent="0.2">
      <c r="C129" s="111">
        <f>D115</f>
        <v>0.16855566880747674</v>
      </c>
      <c r="D129" s="83">
        <v>6</v>
      </c>
      <c r="E129" s="83">
        <v>7.5</v>
      </c>
      <c r="F129" s="83">
        <v>8</v>
      </c>
      <c r="G129" s="83">
        <v>9.5</v>
      </c>
      <c r="H129" s="83">
        <v>10</v>
      </c>
      <c r="I129" s="83">
        <v>11</v>
      </c>
    </row>
    <row r="130" spans="2:9" ht="14.5" customHeight="1" x14ac:dyDescent="0.2">
      <c r="B130" s="144" t="s">
        <v>68</v>
      </c>
      <c r="C130" s="112">
        <v>-0.2</v>
      </c>
      <c r="D130" s="129">
        <f t="dataTable" ref="D130:I135" dt2D="1" dtr="1" r1="D101" r2="C30"/>
        <v>0.15123245790110773</v>
      </c>
      <c r="E130" s="129">
        <v>0.16378929888124572</v>
      </c>
      <c r="F130" s="129">
        <v>0.1678461585260238</v>
      </c>
      <c r="G130" s="129">
        <v>0.17966057782935541</v>
      </c>
      <c r="H130" s="129">
        <v>0.18348643335505299</v>
      </c>
      <c r="I130" s="129">
        <v>0.19098030462654658</v>
      </c>
    </row>
    <row r="131" spans="2:9" x14ac:dyDescent="0.2">
      <c r="B131" s="144"/>
      <c r="C131" s="112">
        <v>-0.1</v>
      </c>
      <c r="D131" s="129">
        <v>0.15374211739494092</v>
      </c>
      <c r="E131" s="129">
        <v>0.16618313435118859</v>
      </c>
      <c r="F131" s="129">
        <v>0.17020403718374122</v>
      </c>
      <c r="G131" s="129">
        <v>0.18191759508187544</v>
      </c>
      <c r="H131" s="129">
        <v>0.18571197219098923</v>
      </c>
      <c r="I131" s="129">
        <v>0.19314579016008726</v>
      </c>
    </row>
    <row r="132" spans="2:9" ht="16" x14ac:dyDescent="0.2">
      <c r="B132" s="144"/>
      <c r="C132" s="112">
        <v>0</v>
      </c>
      <c r="D132" s="129">
        <v>0.15622806498895914</v>
      </c>
      <c r="E132" s="130">
        <v>0.16855566880747674</v>
      </c>
      <c r="F132" s="129">
        <v>0.17254133389531923</v>
      </c>
      <c r="G132" s="129">
        <v>0.18415597387013394</v>
      </c>
      <c r="H132" s="129">
        <v>0.18791945706001689</v>
      </c>
      <c r="I132" s="129">
        <v>0.19529430794619618</v>
      </c>
    </row>
    <row r="133" spans="2:9" x14ac:dyDescent="0.2">
      <c r="B133" s="144"/>
      <c r="C133" s="112">
        <v>0.05</v>
      </c>
      <c r="D133" s="129">
        <v>0.15760989137599357</v>
      </c>
      <c r="E133" s="129">
        <v>0.16987501392846238</v>
      </c>
      <c r="F133" s="129">
        <v>0.17384125353285729</v>
      </c>
      <c r="G133" s="129">
        <v>0.18540133200906017</v>
      </c>
      <c r="H133" s="129">
        <v>0.18914776528975419</v>
      </c>
      <c r="I133" s="129">
        <v>0.19649006085789722</v>
      </c>
    </row>
    <row r="134" spans="2:9" x14ac:dyDescent="0.2">
      <c r="B134" s="144"/>
      <c r="C134" s="112">
        <v>0.08</v>
      </c>
      <c r="D134" s="129">
        <v>0.15852937496223629</v>
      </c>
      <c r="E134" s="129">
        <v>0.1707531415144643</v>
      </c>
      <c r="F134" s="129">
        <v>0.17470651866136522</v>
      </c>
      <c r="G134" s="129">
        <v>0.18623045744655542</v>
      </c>
      <c r="H134" s="129">
        <v>0.18996559379551448</v>
      </c>
      <c r="I134" s="129">
        <v>0.19728631406983821</v>
      </c>
    </row>
    <row r="135" spans="2:9" x14ac:dyDescent="0.2">
      <c r="B135" s="144"/>
      <c r="C135" s="112">
        <v>0.1</v>
      </c>
      <c r="D135" s="129">
        <v>0.15914059263488611</v>
      </c>
      <c r="E135" s="129">
        <v>0.17133696484682281</v>
      </c>
      <c r="F135" s="129">
        <v>0.17528181974216706</v>
      </c>
      <c r="G135" s="129">
        <v>0.18678180819933288</v>
      </c>
      <c r="H135" s="129">
        <v>0.19050945629737215</v>
      </c>
      <c r="I135" s="129">
        <v>0.19781587313517957</v>
      </c>
    </row>
    <row r="138" spans="2:9" x14ac:dyDescent="0.2">
      <c r="C138" s="147" t="s">
        <v>67</v>
      </c>
      <c r="D138" s="147"/>
      <c r="E138" s="147"/>
      <c r="F138" s="147"/>
      <c r="G138" s="147"/>
      <c r="H138" s="147"/>
      <c r="I138" s="147"/>
    </row>
    <row r="139" spans="2:9" x14ac:dyDescent="0.2">
      <c r="B139" s="82"/>
      <c r="C139" s="124" t="s">
        <v>10</v>
      </c>
      <c r="D139" s="124"/>
      <c r="E139" s="124"/>
      <c r="F139" s="124"/>
      <c r="G139" s="124"/>
      <c r="H139" s="124"/>
      <c r="I139" s="73"/>
    </row>
    <row r="140" spans="2:9" x14ac:dyDescent="0.2">
      <c r="C140" s="111">
        <f>D120</f>
        <v>0.21522180322545936</v>
      </c>
      <c r="D140" s="83">
        <v>6</v>
      </c>
      <c r="E140" s="83">
        <v>7.5</v>
      </c>
      <c r="F140" s="83">
        <v>8</v>
      </c>
      <c r="G140" s="83">
        <v>9.5</v>
      </c>
      <c r="H140" s="83">
        <v>10</v>
      </c>
      <c r="I140" s="83">
        <v>11</v>
      </c>
    </row>
    <row r="141" spans="2:9" x14ac:dyDescent="0.2">
      <c r="B141" s="144" t="s">
        <v>68</v>
      </c>
      <c r="C141" s="112">
        <v>-0.2</v>
      </c>
      <c r="D141" s="129">
        <f t="dataTable" ref="D141:I146" dt2D="1" dtr="1" r1="D101" r2="C30" ca="1"/>
        <v>7.1303149015138567E-2</v>
      </c>
      <c r="E141" s="129">
        <v>0.18137932466116502</v>
      </c>
      <c r="F141" s="129">
        <v>0.21038228004501613</v>
      </c>
      <c r="G141" s="129">
        <v>0.28384481424428731</v>
      </c>
      <c r="H141" s="129">
        <v>0.30497844099435789</v>
      </c>
      <c r="I141" s="129">
        <v>0.34355013176239302</v>
      </c>
    </row>
    <row r="142" spans="2:9" x14ac:dyDescent="0.2">
      <c r="B142" s="144"/>
      <c r="C142" s="112">
        <v>-0.1</v>
      </c>
      <c r="D142" s="129">
        <v>9.658021439799902E-2</v>
      </c>
      <c r="E142" s="129">
        <v>0.19877812148428142</v>
      </c>
      <c r="F142" s="129">
        <v>0.22622428047584586</v>
      </c>
      <c r="G142" s="129">
        <v>0.29644263169607976</v>
      </c>
      <c r="H142" s="129">
        <v>0.31679764769571617</v>
      </c>
      <c r="I142" s="129">
        <v>0.35409487255757188</v>
      </c>
    </row>
    <row r="143" spans="2:9" ht="16" x14ac:dyDescent="0.2">
      <c r="B143" s="144"/>
      <c r="C143" s="112">
        <v>0</v>
      </c>
      <c r="D143" s="129">
        <v>0.1197210232049748</v>
      </c>
      <c r="E143" s="130">
        <v>0.21522180322545936</v>
      </c>
      <c r="F143" s="129">
        <v>0.24128754266752961</v>
      </c>
      <c r="G143" s="129">
        <v>0.30856900356446593</v>
      </c>
      <c r="H143" s="129">
        <v>0.32820714107160409</v>
      </c>
      <c r="I143" s="129">
        <v>0.36432102995581106</v>
      </c>
    </row>
    <row r="144" spans="2:9" x14ac:dyDescent="0.2">
      <c r="B144" s="144"/>
      <c r="C144" s="112">
        <v>0.05</v>
      </c>
      <c r="D144" s="129">
        <v>0.13188672756697262</v>
      </c>
      <c r="E144" s="129">
        <v>0.2240541964545939</v>
      </c>
      <c r="F144" s="129">
        <v>0.24941282336269688</v>
      </c>
      <c r="G144" s="129">
        <v>0.31516753316017221</v>
      </c>
      <c r="H144" s="129">
        <v>0.3344284516209981</v>
      </c>
      <c r="I144" s="129">
        <v>0.36991584039971004</v>
      </c>
    </row>
    <row r="145" spans="2:9" x14ac:dyDescent="0.2">
      <c r="B145" s="144"/>
      <c r="C145" s="112">
        <v>0.08</v>
      </c>
      <c r="D145" s="129">
        <v>0.13973476790284001</v>
      </c>
      <c r="E145" s="129">
        <v>0.22981791783397165</v>
      </c>
      <c r="F145" s="129">
        <v>0.25472750081905016</v>
      </c>
      <c r="G145" s="129">
        <v>0.319504706069758</v>
      </c>
      <c r="H145" s="129">
        <v>0.33852246726034396</v>
      </c>
      <c r="I145" s="129">
        <v>0.37360460632019099</v>
      </c>
    </row>
    <row r="146" spans="2:9" x14ac:dyDescent="0.2">
      <c r="B146" s="144"/>
      <c r="C146" s="112">
        <v>0.1</v>
      </c>
      <c r="D146" s="129">
        <v>0.14484912931366378</v>
      </c>
      <c r="E146" s="129">
        <v>0.23360120174003018</v>
      </c>
      <c r="F146" s="129">
        <v>0.25822122027143313</v>
      </c>
      <c r="G146" s="129">
        <v>0.32236478328253004</v>
      </c>
      <c r="H146" s="129">
        <v>0.34122423709273231</v>
      </c>
      <c r="I146" s="129">
        <v>0.37604194591012918</v>
      </c>
    </row>
  </sheetData>
  <mergeCells count="13">
    <mergeCell ref="B21:I21"/>
    <mergeCell ref="B2:I2"/>
    <mergeCell ref="B3:I3"/>
    <mergeCell ref="B4:I4"/>
    <mergeCell ref="B19:I19"/>
    <mergeCell ref="B20:I20"/>
    <mergeCell ref="B141:B146"/>
    <mergeCell ref="B97:I97"/>
    <mergeCell ref="B98:I98"/>
    <mergeCell ref="B124:I124"/>
    <mergeCell ref="C127:I127"/>
    <mergeCell ref="B130:B135"/>
    <mergeCell ref="C138:I138"/>
  </mergeCells>
  <pageMargins left="0.7" right="0.7" top="0.75" bottom="0.75" header="0.3" footer="0.3"/>
  <pageSetup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3D5F-55DC-244A-A140-BFF28C12DC9F}">
  <sheetPr>
    <pageSetUpPr fitToPage="1"/>
  </sheetPr>
  <dimension ref="A1:L146"/>
  <sheetViews>
    <sheetView showGridLines="0" topLeftCell="A123" zoomScaleNormal="100" workbookViewId="0">
      <selection activeCell="I142" sqref="I142"/>
    </sheetView>
  </sheetViews>
  <sheetFormatPr baseColWidth="10" defaultColWidth="9" defaultRowHeight="15" x14ac:dyDescent="0.2"/>
  <cols>
    <col min="1" max="1" width="46.33203125" style="58" bestFit="1" customWidth="1"/>
    <col min="2" max="2" width="53.83203125" style="58" bestFit="1" customWidth="1"/>
    <col min="3" max="3" width="10.5" style="58" bestFit="1" customWidth="1"/>
    <col min="4" max="4" width="7.6640625" style="58" bestFit="1" customWidth="1"/>
    <col min="5" max="5" width="10.33203125" style="58" bestFit="1" customWidth="1"/>
    <col min="6" max="6" width="12.5" style="58" bestFit="1" customWidth="1"/>
    <col min="7" max="7" width="8.6640625" style="58" bestFit="1" customWidth="1"/>
    <col min="8" max="8" width="13.6640625" style="58" customWidth="1"/>
    <col min="9" max="9" width="8.6640625" style="58" bestFit="1" customWidth="1"/>
    <col min="10" max="10" width="17" style="58" bestFit="1" customWidth="1"/>
    <col min="11" max="16384" width="9" style="58"/>
  </cols>
  <sheetData>
    <row r="1" spans="1:12" ht="16" thickBot="1" x14ac:dyDescent="0.25">
      <c r="A1" s="58" t="s">
        <v>124</v>
      </c>
      <c r="B1" s="65"/>
      <c r="C1" s="65"/>
      <c r="D1" s="65"/>
      <c r="E1" s="65"/>
      <c r="F1" s="65"/>
      <c r="G1" s="65"/>
      <c r="H1" s="65"/>
      <c r="I1" s="65"/>
    </row>
    <row r="2" spans="1:12" ht="16" thickTop="1" x14ac:dyDescent="0.2">
      <c r="B2" s="145" t="s">
        <v>91</v>
      </c>
      <c r="C2" s="145"/>
      <c r="D2" s="145"/>
      <c r="E2" s="145"/>
      <c r="F2" s="145"/>
      <c r="G2" s="145"/>
      <c r="H2" s="145"/>
      <c r="I2" s="145"/>
    </row>
    <row r="3" spans="1:12" x14ac:dyDescent="0.2">
      <c r="B3" s="146" t="s">
        <v>36</v>
      </c>
      <c r="C3" s="146"/>
      <c r="D3" s="146"/>
      <c r="E3" s="146"/>
      <c r="F3" s="146"/>
      <c r="G3" s="146"/>
      <c r="H3" s="146"/>
      <c r="I3" s="146"/>
    </row>
    <row r="4" spans="1:12" x14ac:dyDescent="0.2">
      <c r="B4" s="149" t="s">
        <v>65</v>
      </c>
      <c r="C4" s="149"/>
      <c r="D4" s="149"/>
      <c r="E4" s="149"/>
      <c r="F4" s="149"/>
      <c r="G4" s="149"/>
      <c r="H4" s="149"/>
      <c r="I4" s="149"/>
    </row>
    <row r="5" spans="1:12" ht="16" thickBot="1" x14ac:dyDescent="0.25">
      <c r="B5" s="65"/>
      <c r="C5" s="65"/>
      <c r="D5" s="65"/>
      <c r="E5" s="65"/>
      <c r="F5" s="65"/>
      <c r="G5" s="65"/>
      <c r="H5" s="65"/>
      <c r="I5" s="65"/>
    </row>
    <row r="6" spans="1:12" ht="16" thickTop="1" x14ac:dyDescent="0.2">
      <c r="B6" s="56" t="s">
        <v>63</v>
      </c>
      <c r="D6" s="100">
        <f>'Ex 10 Projections'!E18</f>
        <v>1438.43</v>
      </c>
      <c r="E6" s="91" t="s">
        <v>31</v>
      </c>
      <c r="H6" s="56" t="s">
        <v>76</v>
      </c>
      <c r="I6" s="79">
        <f>D12</f>
        <v>9</v>
      </c>
      <c r="L6" s="127"/>
    </row>
    <row r="7" spans="1:12" x14ac:dyDescent="0.2">
      <c r="B7" s="56" t="s">
        <v>62</v>
      </c>
      <c r="D7" s="81">
        <v>0.03</v>
      </c>
      <c r="H7" s="56" t="s">
        <v>73</v>
      </c>
      <c r="I7" s="101">
        <f>'Ex 11 Comps'!I16</f>
        <v>64.2</v>
      </c>
      <c r="J7" s="91" t="s">
        <v>35</v>
      </c>
    </row>
    <row r="8" spans="1:12" x14ac:dyDescent="0.2">
      <c r="B8" s="56" t="s">
        <v>32</v>
      </c>
      <c r="D8" s="99">
        <v>0.23</v>
      </c>
      <c r="E8" s="91" t="s">
        <v>31</v>
      </c>
      <c r="H8" s="56" t="s">
        <v>74</v>
      </c>
      <c r="I8" s="100">
        <f>('Ex 11 Comps'!I16*'Ex 11 Comps'!J16)+'Ex 11 Comps'!K16</f>
        <v>8758.648000000001</v>
      </c>
      <c r="J8" s="91" t="s">
        <v>90</v>
      </c>
    </row>
    <row r="9" spans="1:12" x14ac:dyDescent="0.2">
      <c r="B9" s="56" t="s">
        <v>104</v>
      </c>
      <c r="D9" s="100">
        <v>0</v>
      </c>
      <c r="E9" s="91" t="s">
        <v>105</v>
      </c>
      <c r="H9" s="84"/>
      <c r="I9" s="84"/>
      <c r="J9" s="91"/>
    </row>
    <row r="10" spans="1:12" x14ac:dyDescent="0.2">
      <c r="B10" s="60"/>
      <c r="E10" s="91"/>
      <c r="F10" s="56"/>
      <c r="H10" s="56"/>
      <c r="I10" s="84"/>
    </row>
    <row r="11" spans="1:12" ht="16" x14ac:dyDescent="0.2">
      <c r="B11" s="78" t="s">
        <v>66</v>
      </c>
      <c r="C11" s="70"/>
      <c r="D11" s="70"/>
      <c r="E11" s="71" t="s">
        <v>64</v>
      </c>
      <c r="F11" s="72" t="s">
        <v>34</v>
      </c>
      <c r="G11" s="72" t="s">
        <v>108</v>
      </c>
      <c r="H11" s="58" t="s">
        <v>142</v>
      </c>
      <c r="J11" s="72" t="s">
        <v>109</v>
      </c>
    </row>
    <row r="12" spans="1:12" x14ac:dyDescent="0.2">
      <c r="B12" s="60" t="s">
        <v>77</v>
      </c>
      <c r="D12" s="76">
        <f>SUM(D13:D16)</f>
        <v>9</v>
      </c>
      <c r="E12" s="68">
        <f>D6*D12</f>
        <v>12945.87</v>
      </c>
      <c r="F12" s="73"/>
    </row>
    <row r="13" spans="1:12" x14ac:dyDescent="0.2">
      <c r="B13" s="60" t="s">
        <v>3</v>
      </c>
      <c r="D13" s="102">
        <v>4</v>
      </c>
      <c r="E13" s="68">
        <f>D13*$D$6</f>
        <v>5753.72</v>
      </c>
      <c r="F13" s="128">
        <f>D7+J13</f>
        <v>5.5E-2</v>
      </c>
      <c r="H13" s="73">
        <f>(E13+E14)/E29</f>
        <v>5.0000000000000009</v>
      </c>
      <c r="I13" s="73"/>
      <c r="J13" s="125">
        <v>2.5000000000000001E-2</v>
      </c>
    </row>
    <row r="14" spans="1:12" x14ac:dyDescent="0.2">
      <c r="B14" s="60" t="s">
        <v>4</v>
      </c>
      <c r="D14" s="102">
        <v>1</v>
      </c>
      <c r="E14" s="68">
        <f>D14*$D$6</f>
        <v>1438.43</v>
      </c>
      <c r="F14" s="128">
        <f>D7+J14</f>
        <v>7.4999999999999997E-2</v>
      </c>
      <c r="H14" s="74"/>
      <c r="I14" s="73"/>
      <c r="J14" s="125">
        <v>4.4999999999999998E-2</v>
      </c>
    </row>
    <row r="15" spans="1:12" x14ac:dyDescent="0.2">
      <c r="B15" s="60" t="s">
        <v>121</v>
      </c>
      <c r="D15" s="102">
        <v>2</v>
      </c>
      <c r="E15" s="68">
        <f>D15*$D$6</f>
        <v>2876.86</v>
      </c>
      <c r="F15" s="81">
        <v>0.11</v>
      </c>
      <c r="G15" s="81">
        <v>0.02</v>
      </c>
      <c r="H15" s="74"/>
      <c r="I15" s="75"/>
      <c r="J15" s="58" t="s">
        <v>127</v>
      </c>
    </row>
    <row r="16" spans="1:12" ht="16" thickBot="1" x14ac:dyDescent="0.25">
      <c r="B16" s="77" t="s">
        <v>122</v>
      </c>
      <c r="C16" s="65"/>
      <c r="D16" s="103">
        <v>2</v>
      </c>
      <c r="E16" s="69">
        <f>E12-E13-E14-E15</f>
        <v>2876.86</v>
      </c>
      <c r="F16" s="65"/>
      <c r="G16" s="65"/>
      <c r="H16" s="65"/>
      <c r="I16" s="65"/>
      <c r="J16" s="132">
        <v>0.05</v>
      </c>
    </row>
    <row r="17" spans="2:11" ht="17" thickTop="1" thickBot="1" x14ac:dyDescent="0.25">
      <c r="B17" s="65"/>
      <c r="C17" s="65"/>
      <c r="D17" s="65"/>
      <c r="E17" s="65"/>
      <c r="F17" s="65"/>
      <c r="G17" s="65"/>
      <c r="H17" s="65"/>
      <c r="I17" s="65"/>
    </row>
    <row r="18" spans="2:11" ht="16" thickTop="1" x14ac:dyDescent="0.2">
      <c r="B18" s="60"/>
    </row>
    <row r="19" spans="2:11" x14ac:dyDescent="0.2">
      <c r="B19" s="145" t="s">
        <v>92</v>
      </c>
      <c r="C19" s="145"/>
      <c r="D19" s="145"/>
      <c r="E19" s="145"/>
      <c r="F19" s="145"/>
      <c r="G19" s="145"/>
      <c r="H19" s="145"/>
      <c r="I19" s="145"/>
    </row>
    <row r="20" spans="2:11" x14ac:dyDescent="0.2">
      <c r="B20" s="146" t="s">
        <v>36</v>
      </c>
      <c r="C20" s="146"/>
      <c r="D20" s="146"/>
      <c r="E20" s="146"/>
      <c r="F20" s="146"/>
      <c r="G20" s="146"/>
      <c r="H20" s="146"/>
      <c r="I20" s="146"/>
    </row>
    <row r="21" spans="2:11" x14ac:dyDescent="0.2">
      <c r="B21" s="148" t="s">
        <v>71</v>
      </c>
      <c r="C21" s="148"/>
      <c r="D21" s="148"/>
      <c r="E21" s="148"/>
      <c r="F21" s="148"/>
      <c r="G21" s="148"/>
      <c r="H21" s="148"/>
      <c r="I21" s="148"/>
      <c r="K21" s="58" t="s">
        <v>135</v>
      </c>
    </row>
    <row r="22" spans="2:11" ht="16" thickBot="1" x14ac:dyDescent="0.25">
      <c r="B22" s="65"/>
      <c r="C22" s="65"/>
      <c r="D22" s="65"/>
      <c r="E22" s="66"/>
      <c r="F22" s="67"/>
      <c r="G22" s="65"/>
      <c r="H22" s="65"/>
      <c r="I22" s="65"/>
      <c r="K22" s="58" t="s">
        <v>138</v>
      </c>
    </row>
    <row r="23" spans="2:11" s="63" customFormat="1" ht="16" thickTop="1" x14ac:dyDescent="0.2">
      <c r="B23" s="62"/>
      <c r="C23" s="62"/>
      <c r="D23" s="62">
        <v>2023</v>
      </c>
      <c r="E23" s="62">
        <v>2024</v>
      </c>
      <c r="F23" s="62">
        <v>2025</v>
      </c>
      <c r="G23" s="62">
        <v>2026</v>
      </c>
      <c r="H23" s="62">
        <v>2027</v>
      </c>
      <c r="I23" s="62">
        <v>2028</v>
      </c>
    </row>
    <row r="24" spans="2:11" x14ac:dyDescent="0.2">
      <c r="B24" s="58" t="str">
        <f>'Ex 10 Projections'!B11</f>
        <v>Total revenue</v>
      </c>
      <c r="D24" s="104">
        <f>'Ex 10 Projections'!D11</f>
        <v>8674.42</v>
      </c>
      <c r="E24" s="104">
        <f>'Ex 10 Projections'!E11</f>
        <v>8471</v>
      </c>
      <c r="F24" s="104">
        <f>'Ex 10 Projections'!F11</f>
        <v>8553</v>
      </c>
      <c r="G24" s="104">
        <f>'Ex 10 Projections'!G11</f>
        <v>8862.2900000000009</v>
      </c>
      <c r="H24" s="104">
        <f>'Ex 10 Projections'!H11</f>
        <v>9181.33</v>
      </c>
      <c r="I24" s="104">
        <f>'Ex 10 Projections'!I11</f>
        <v>9582.61</v>
      </c>
      <c r="J24" s="61"/>
      <c r="K24" s="61"/>
    </row>
    <row r="25" spans="2:11" x14ac:dyDescent="0.2">
      <c r="B25" s="58" t="str">
        <f>'Ex 10 Projections'!B12</f>
        <v xml:space="preserve">   Cost of goods sold</v>
      </c>
      <c r="D25" s="105">
        <f>'Ex 10 Projections'!D12</f>
        <v>4996.68</v>
      </c>
      <c r="E25" s="105">
        <f>'Ex 10 Projections'!E12</f>
        <v>5067.8</v>
      </c>
      <c r="F25" s="105">
        <f>'Ex 10 Projections'!F12</f>
        <v>5082.1000000000004</v>
      </c>
      <c r="G25" s="105">
        <f>'Ex 10 Projections'!G12</f>
        <v>5241.16</v>
      </c>
      <c r="H25" s="105">
        <f>'Ex 10 Projections'!H12</f>
        <v>5407.8</v>
      </c>
      <c r="I25" s="105">
        <f>'Ex 10 Projections'!I12</f>
        <v>5605.83</v>
      </c>
      <c r="J25" s="61"/>
      <c r="K25" s="61"/>
    </row>
    <row r="26" spans="2:11" x14ac:dyDescent="0.2">
      <c r="B26" s="58" t="str">
        <f>'Ex 10 Projections'!B13</f>
        <v>Gross profit</v>
      </c>
      <c r="D26" s="57">
        <f t="shared" ref="D26:I26" si="0">D24-D25</f>
        <v>3677.74</v>
      </c>
      <c r="E26" s="57">
        <f t="shared" si="0"/>
        <v>3403.2</v>
      </c>
      <c r="F26" s="57">
        <f t="shared" si="0"/>
        <v>3470.8999999999996</v>
      </c>
      <c r="G26" s="57">
        <f t="shared" si="0"/>
        <v>3621.130000000001</v>
      </c>
      <c r="H26" s="57">
        <f t="shared" si="0"/>
        <v>3773.5299999999997</v>
      </c>
      <c r="I26" s="57">
        <f t="shared" si="0"/>
        <v>3976.7800000000007</v>
      </c>
      <c r="J26" s="61"/>
      <c r="K26" s="61"/>
    </row>
    <row r="27" spans="2:11" x14ac:dyDescent="0.2">
      <c r="B27" s="58" t="str">
        <f>'Ex 10 Projections'!B14</f>
        <v xml:space="preserve">   Selling, general, and administrative expenses</v>
      </c>
      <c r="D27" s="104">
        <f>'Ex 10 Projections'!D14</f>
        <v>2179.31</v>
      </c>
      <c r="E27" s="104">
        <f>'Ex 10 Projections'!E14</f>
        <v>2189.6</v>
      </c>
      <c r="F27" s="104">
        <f>'Ex 10 Projections'!F14</f>
        <v>2223.6999999999998</v>
      </c>
      <c r="G27" s="104">
        <f>'Ex 10 Projections'!G14</f>
        <v>2395.0500000000002</v>
      </c>
      <c r="H27" s="104">
        <f>'Ex 10 Projections'!H14</f>
        <v>2313.4299999999998</v>
      </c>
      <c r="I27" s="104">
        <f>'Ex 10 Projections'!I14</f>
        <v>2443.7800000000002</v>
      </c>
      <c r="J27" s="61"/>
      <c r="K27" s="61"/>
    </row>
    <row r="28" spans="2:11" x14ac:dyDescent="0.2">
      <c r="B28" s="58" t="str">
        <f>'Ex 10 Projections'!B17</f>
        <v xml:space="preserve">   Depreciation and amortization</v>
      </c>
      <c r="D28" s="105">
        <f>'Ex 10 Projections'!D17</f>
        <v>214.2</v>
      </c>
      <c r="E28" s="105">
        <f>'Ex 10 Projections'!E17</f>
        <v>224.83</v>
      </c>
      <c r="F28" s="105">
        <f>'Ex 10 Projections'!F17</f>
        <v>233.48</v>
      </c>
      <c r="G28" s="105">
        <f>'Ex 10 Projections'!G17</f>
        <v>250.75</v>
      </c>
      <c r="H28" s="105">
        <f>'Ex 10 Projections'!H17</f>
        <v>252.51</v>
      </c>
      <c r="I28" s="105">
        <f>'Ex 10 Projections'!I17</f>
        <v>263.87</v>
      </c>
      <c r="J28" s="61"/>
      <c r="K28" s="61"/>
    </row>
    <row r="29" spans="2:11" ht="13" customHeight="1" x14ac:dyDescent="0.2">
      <c r="B29" s="58" t="str">
        <f>'Ex 10 Projections'!B18</f>
        <v>EBITDA</v>
      </c>
      <c r="D29" s="57">
        <f t="shared" ref="D29:I29" si="1">(D26-D27+D28)</f>
        <v>1712.6299999999999</v>
      </c>
      <c r="E29" s="57">
        <f t="shared" si="1"/>
        <v>1438.4299999999998</v>
      </c>
      <c r="F29" s="57">
        <f t="shared" si="1"/>
        <v>1480.6799999999998</v>
      </c>
      <c r="G29" s="57">
        <f t="shared" si="1"/>
        <v>1476.8300000000008</v>
      </c>
      <c r="H29" s="57">
        <f t="shared" si="1"/>
        <v>1712.61</v>
      </c>
      <c r="I29" s="57">
        <f t="shared" si="1"/>
        <v>1796.8700000000003</v>
      </c>
      <c r="J29" s="61"/>
      <c r="K29" s="61"/>
    </row>
    <row r="30" spans="2:11" ht="13" customHeight="1" x14ac:dyDescent="0.2">
      <c r="B30" s="58" t="s">
        <v>123</v>
      </c>
      <c r="C30" s="126">
        <v>0</v>
      </c>
      <c r="D30" s="57">
        <f t="shared" ref="D30:I30" si="2">D29*(1+$C$30)</f>
        <v>1712.6299999999999</v>
      </c>
      <c r="E30" s="57">
        <f t="shared" si="2"/>
        <v>1438.4299999999998</v>
      </c>
      <c r="F30" s="57">
        <f t="shared" si="2"/>
        <v>1480.6799999999998</v>
      </c>
      <c r="G30" s="57">
        <f t="shared" si="2"/>
        <v>1476.8300000000008</v>
      </c>
      <c r="H30" s="57">
        <f t="shared" si="2"/>
        <v>1712.61</v>
      </c>
      <c r="I30" s="57">
        <f t="shared" si="2"/>
        <v>1796.8700000000003</v>
      </c>
      <c r="J30" s="61"/>
      <c r="K30" s="61"/>
    </row>
    <row r="31" spans="2:11" ht="13" customHeight="1" x14ac:dyDescent="0.2">
      <c r="D31" s="57"/>
      <c r="E31" s="57"/>
      <c r="F31" s="57"/>
      <c r="G31" s="57"/>
      <c r="H31" s="57"/>
      <c r="I31" s="57"/>
      <c r="J31" s="61"/>
      <c r="K31" s="61"/>
    </row>
    <row r="32" spans="2:11" x14ac:dyDescent="0.2">
      <c r="B32" s="58" t="str">
        <f>'Ex 10 Projections'!B15</f>
        <v>Operating income (EBIT)</v>
      </c>
      <c r="D32" s="85">
        <f t="shared" ref="D32:I32" si="3">D30-D28</f>
        <v>1498.4299999999998</v>
      </c>
      <c r="E32" s="85">
        <f t="shared" si="3"/>
        <v>1213.5999999999999</v>
      </c>
      <c r="F32" s="85">
        <f t="shared" si="3"/>
        <v>1247.1999999999998</v>
      </c>
      <c r="G32" s="85">
        <f t="shared" si="3"/>
        <v>1226.0800000000008</v>
      </c>
      <c r="H32" s="85">
        <f t="shared" si="3"/>
        <v>1460.1</v>
      </c>
      <c r="I32" s="85">
        <f t="shared" si="3"/>
        <v>1533.0000000000005</v>
      </c>
      <c r="J32" s="61"/>
      <c r="K32" s="61"/>
    </row>
    <row r="33" spans="2:11" x14ac:dyDescent="0.2">
      <c r="B33" s="58" t="str">
        <f>'Ex 10 Projections'!B22</f>
        <v>CAPEX</v>
      </c>
      <c r="D33" s="104">
        <f>'Ex 10 Projections'!D22</f>
        <v>354.1</v>
      </c>
      <c r="E33" s="104">
        <f>'Ex 10 Projections'!E22</f>
        <v>249.4</v>
      </c>
      <c r="F33" s="104">
        <f>'Ex 10 Projections'!F22</f>
        <v>262.31</v>
      </c>
      <c r="G33" s="104">
        <f>'Ex 10 Projections'!G22</f>
        <v>263.81</v>
      </c>
      <c r="H33" s="104">
        <f>'Ex 10 Projections'!H22</f>
        <v>320.49</v>
      </c>
      <c r="I33" s="104">
        <f>'Ex 10 Projections'!I22</f>
        <v>345.07</v>
      </c>
      <c r="J33" s="61"/>
      <c r="K33" s="61"/>
    </row>
    <row r="34" spans="2:11" x14ac:dyDescent="0.2">
      <c r="B34" s="59" t="str">
        <f>'Ex 10 Projections'!B23</f>
        <v>Change in net working capital (NWC)</v>
      </c>
      <c r="C34" s="59"/>
      <c r="D34" s="105">
        <f>'Ex 10 Projections'!D23</f>
        <v>-152.6</v>
      </c>
      <c r="E34" s="105">
        <f>'Ex 10 Projections'!E23</f>
        <v>227.87</v>
      </c>
      <c r="F34" s="105">
        <f>'Ex 10 Projections'!F23</f>
        <v>6.07</v>
      </c>
      <c r="G34" s="105">
        <f>'Ex 10 Projections'!G23</f>
        <v>22.91</v>
      </c>
      <c r="H34" s="105">
        <f>'Ex 10 Projections'!H23</f>
        <v>23.63</v>
      </c>
      <c r="I34" s="105">
        <f>'Ex 10 Projections'!I23</f>
        <v>29.72</v>
      </c>
    </row>
    <row r="35" spans="2:11" x14ac:dyDescent="0.2">
      <c r="E35" s="64"/>
      <c r="F35" s="64"/>
      <c r="G35" s="64"/>
      <c r="H35" s="64"/>
      <c r="I35" s="64"/>
    </row>
    <row r="36" spans="2:11" ht="16" thickBot="1" x14ac:dyDescent="0.25">
      <c r="B36" s="58" t="s">
        <v>5</v>
      </c>
      <c r="E36" s="106">
        <f>E32*(1-$D$8)+E28-E33-E34</f>
        <v>682.03199999999993</v>
      </c>
      <c r="F36" s="106">
        <f>F32*(1-$D$8)+F28-F33-F34</f>
        <v>925.44399999999985</v>
      </c>
      <c r="G36" s="106">
        <f>G32*(1-$D$8)+G28-G33-G34</f>
        <v>908.11160000000075</v>
      </c>
      <c r="H36" s="106">
        <f>H32*(1-$D$8)+H28-H33-H34</f>
        <v>1032.6669999999999</v>
      </c>
      <c r="I36" s="106">
        <f>I32*(1-$D$8)+I28-I33-I34</f>
        <v>1069.4900000000002</v>
      </c>
    </row>
    <row r="37" spans="2:11" ht="16" thickTop="1" x14ac:dyDescent="0.2">
      <c r="B37" s="58" t="s">
        <v>137</v>
      </c>
      <c r="E37" s="131">
        <f>E13</f>
        <v>5753.72</v>
      </c>
      <c r="F37" s="131">
        <f>E37-E38</f>
        <v>5466.0340000000006</v>
      </c>
      <c r="G37" s="131">
        <f>F37-F38</f>
        <v>5178.3480000000009</v>
      </c>
      <c r="H37" s="131">
        <f>G37-G38</f>
        <v>4890.6620000000012</v>
      </c>
      <c r="I37" s="131">
        <f>H37-H38</f>
        <v>4602.9760000000015</v>
      </c>
    </row>
    <row r="38" spans="2:11" x14ac:dyDescent="0.2">
      <c r="B38" s="58" t="s">
        <v>133</v>
      </c>
      <c r="E38" s="131">
        <f>$J$16*$E$37</f>
        <v>287.68600000000004</v>
      </c>
      <c r="F38" s="131">
        <f>$J$16*$E$37</f>
        <v>287.68600000000004</v>
      </c>
      <c r="G38" s="131">
        <f>$J$16*$E$37</f>
        <v>287.68600000000004</v>
      </c>
      <c r="H38" s="131">
        <f>$J$16*$E$37</f>
        <v>287.68600000000004</v>
      </c>
      <c r="I38" s="131">
        <f>$J$16*$E$37</f>
        <v>287.68600000000004</v>
      </c>
    </row>
    <row r="39" spans="2:11" x14ac:dyDescent="0.2">
      <c r="B39" s="58" t="s">
        <v>126</v>
      </c>
      <c r="E39" s="131">
        <f>$F$13*E37</f>
        <v>316.45460000000003</v>
      </c>
      <c r="F39" s="131">
        <f>$F$13*F37</f>
        <v>300.63187000000005</v>
      </c>
      <c r="G39" s="131">
        <f>$F$13*G37</f>
        <v>284.80914000000007</v>
      </c>
      <c r="H39" s="131">
        <f>$F$13*H37</f>
        <v>268.98641000000009</v>
      </c>
      <c r="I39" s="131">
        <f>$F$13*I37</f>
        <v>253.16368000000008</v>
      </c>
    </row>
    <row r="40" spans="2:11" x14ac:dyDescent="0.2">
      <c r="E40" s="131"/>
      <c r="F40" s="131"/>
      <c r="G40" s="131"/>
      <c r="H40" s="131"/>
      <c r="I40" s="131"/>
    </row>
    <row r="41" spans="2:11" x14ac:dyDescent="0.2">
      <c r="B41" s="58" t="s">
        <v>128</v>
      </c>
      <c r="E41" s="131">
        <f>E38+E39</f>
        <v>604.14060000000006</v>
      </c>
      <c r="F41" s="131">
        <f>F38+F39</f>
        <v>588.31787000000008</v>
      </c>
      <c r="G41" s="131">
        <f>G38+G39</f>
        <v>572.49514000000011</v>
      </c>
      <c r="H41" s="131">
        <f>H38+H39</f>
        <v>556.67241000000013</v>
      </c>
      <c r="I41" s="131">
        <f>I38+I39</f>
        <v>540.84968000000015</v>
      </c>
    </row>
    <row r="42" spans="2:11" x14ac:dyDescent="0.2">
      <c r="B42" s="58" t="s">
        <v>129</v>
      </c>
      <c r="E42" s="131">
        <f>E39*$D$8</f>
        <v>72.784558000000004</v>
      </c>
      <c r="F42" s="131">
        <f>F39*$D$8</f>
        <v>69.14533010000001</v>
      </c>
      <c r="G42" s="131">
        <f>G39*$D$8</f>
        <v>65.506102200000015</v>
      </c>
      <c r="H42" s="131">
        <f>H39*$D$8</f>
        <v>61.866874300000021</v>
      </c>
      <c r="I42" s="131">
        <f>I39*$D$8</f>
        <v>58.227646400000019</v>
      </c>
    </row>
    <row r="43" spans="2:11" x14ac:dyDescent="0.2">
      <c r="B43" s="59" t="s">
        <v>130</v>
      </c>
      <c r="C43" s="59"/>
      <c r="D43" s="59"/>
      <c r="E43" s="137">
        <f>E36-E41+E42</f>
        <v>150.67595799999987</v>
      </c>
      <c r="F43" s="137">
        <f>F36-F41+F42</f>
        <v>406.27146009999979</v>
      </c>
      <c r="G43" s="137">
        <f>G36-G41+G42</f>
        <v>401.12256220000063</v>
      </c>
      <c r="H43" s="137">
        <f>H36-H41+H42</f>
        <v>537.86146429999985</v>
      </c>
      <c r="I43" s="137">
        <f>I36-I41+I42</f>
        <v>586.86796640000011</v>
      </c>
    </row>
    <row r="44" spans="2:11" x14ac:dyDescent="0.2">
      <c r="B44" s="63" t="s">
        <v>131</v>
      </c>
      <c r="C44" s="63"/>
      <c r="D44" s="63"/>
      <c r="E44" s="136">
        <f>(E41+E43)/E41</f>
        <v>1.2494054496585727</v>
      </c>
      <c r="F44" s="134">
        <f>(F41+F43)/F41</f>
        <v>1.6905645414102408</v>
      </c>
      <c r="G44" s="134">
        <f>(G41+G43)/G41</f>
        <v>1.7006567116010811</v>
      </c>
      <c r="H44" s="134">
        <f>(H41+H43)/H41</f>
        <v>1.9662082306180753</v>
      </c>
      <c r="I44" s="134">
        <f>(I41+I43)/I41</f>
        <v>2.0850851689511956</v>
      </c>
    </row>
    <row r="45" spans="2:11" x14ac:dyDescent="0.2">
      <c r="E45" s="133"/>
      <c r="F45" s="131"/>
      <c r="G45" s="131"/>
      <c r="H45" s="131"/>
      <c r="I45" s="131"/>
    </row>
    <row r="46" spans="2:11" x14ac:dyDescent="0.2">
      <c r="B46" s="58" t="s">
        <v>4</v>
      </c>
      <c r="E46" s="133"/>
      <c r="F46" s="131"/>
      <c r="G46" s="131"/>
      <c r="H46" s="131"/>
      <c r="I46" s="131"/>
    </row>
    <row r="47" spans="2:11" x14ac:dyDescent="0.2">
      <c r="B47" s="58" t="s">
        <v>5</v>
      </c>
      <c r="E47" s="133">
        <f>E43</f>
        <v>150.67595799999987</v>
      </c>
      <c r="F47" s="133">
        <f>F43</f>
        <v>406.27146009999979</v>
      </c>
      <c r="G47" s="133">
        <f>G43</f>
        <v>401.12256220000063</v>
      </c>
      <c r="H47" s="133">
        <f>H43</f>
        <v>537.86146429999985</v>
      </c>
      <c r="I47" s="133">
        <f>I43</f>
        <v>586.86796640000011</v>
      </c>
    </row>
    <row r="48" spans="2:11" x14ac:dyDescent="0.2">
      <c r="B48" s="58" t="s">
        <v>132</v>
      </c>
      <c r="E48" s="133"/>
      <c r="F48" s="131"/>
      <c r="G48" s="131"/>
      <c r="H48" s="131"/>
      <c r="I48" s="131"/>
    </row>
    <row r="49" spans="2:9" x14ac:dyDescent="0.2">
      <c r="B49" s="58" t="s">
        <v>126</v>
      </c>
      <c r="E49" s="133">
        <f>$F$14*$E$14</f>
        <v>107.88225</v>
      </c>
      <c r="F49" s="133">
        <f>$F$14*$E$14</f>
        <v>107.88225</v>
      </c>
      <c r="G49" s="133">
        <f>$F$14*$E$14</f>
        <v>107.88225</v>
      </c>
      <c r="H49" s="133">
        <f>$F$14*$E$14</f>
        <v>107.88225</v>
      </c>
      <c r="I49" s="133">
        <f>$F$14*$E$14</f>
        <v>107.88225</v>
      </c>
    </row>
    <row r="50" spans="2:9" x14ac:dyDescent="0.2">
      <c r="E50" s="131"/>
      <c r="F50" s="131"/>
      <c r="G50" s="131"/>
      <c r="H50" s="131"/>
      <c r="I50" s="131"/>
    </row>
    <row r="51" spans="2:9" x14ac:dyDescent="0.2">
      <c r="B51" s="58" t="s">
        <v>128</v>
      </c>
      <c r="E51" s="131">
        <f>E49</f>
        <v>107.88225</v>
      </c>
      <c r="F51" s="131">
        <f>F49</f>
        <v>107.88225</v>
      </c>
      <c r="G51" s="131">
        <f>G49</f>
        <v>107.88225</v>
      </c>
      <c r="H51" s="131">
        <f>H49</f>
        <v>107.88225</v>
      </c>
      <c r="I51" s="131">
        <f>I49</f>
        <v>107.88225</v>
      </c>
    </row>
    <row r="52" spans="2:9" x14ac:dyDescent="0.2">
      <c r="B52" s="58" t="s">
        <v>125</v>
      </c>
      <c r="E52" s="131">
        <f>E49*$D$8</f>
        <v>24.812917500000001</v>
      </c>
      <c r="F52" s="131">
        <f>F49*$D$8</f>
        <v>24.812917500000001</v>
      </c>
      <c r="G52" s="131">
        <f>G49*$D$8</f>
        <v>24.812917500000001</v>
      </c>
      <c r="H52" s="131">
        <f>H49*$D$8</f>
        <v>24.812917500000001</v>
      </c>
      <c r="I52" s="131">
        <f>I49*$D$8</f>
        <v>24.812917500000001</v>
      </c>
    </row>
    <row r="53" spans="2:9" x14ac:dyDescent="0.2">
      <c r="B53" s="59" t="s">
        <v>134</v>
      </c>
      <c r="C53" s="59"/>
      <c r="D53" s="59"/>
      <c r="E53" s="137">
        <f>E47-E51+E52</f>
        <v>67.606625499999865</v>
      </c>
      <c r="F53" s="137">
        <f>F47-F51+F52</f>
        <v>323.20212759999981</v>
      </c>
      <c r="G53" s="137">
        <f>G47-G51+G52</f>
        <v>318.05322970000066</v>
      </c>
      <c r="H53" s="137">
        <f>H47-H51+H52</f>
        <v>454.79213179999988</v>
      </c>
      <c r="I53" s="137">
        <f>I47-I51+I52</f>
        <v>503.79863390000014</v>
      </c>
    </row>
    <row r="54" spans="2:9" s="63" customFormat="1" x14ac:dyDescent="0.2">
      <c r="B54" s="135" t="s">
        <v>131</v>
      </c>
      <c r="C54" s="135"/>
      <c r="D54" s="135"/>
      <c r="E54" s="139">
        <f>(E51+E53)/E51</f>
        <v>1.6266705180880068</v>
      </c>
      <c r="F54" s="139">
        <f>(F51+F53)/F51</f>
        <v>3.9958786324905144</v>
      </c>
      <c r="G54" s="139">
        <f>(G51+G53)/G51</f>
        <v>3.9481516162297381</v>
      </c>
      <c r="H54" s="139">
        <f>(H51+H53)/H51</f>
        <v>5.2156344699892694</v>
      </c>
      <c r="I54" s="139">
        <f>(I51+I53)/I51</f>
        <v>5.6698936470086609</v>
      </c>
    </row>
    <row r="55" spans="2:9" x14ac:dyDescent="0.2">
      <c r="B55" s="63"/>
      <c r="C55" s="63"/>
      <c r="D55" s="63"/>
      <c r="E55" s="131"/>
      <c r="F55" s="131"/>
      <c r="G55" s="131"/>
      <c r="H55" s="131"/>
      <c r="I55" s="131"/>
    </row>
    <row r="56" spans="2:9" x14ac:dyDescent="0.2">
      <c r="B56" s="63" t="s">
        <v>75</v>
      </c>
      <c r="C56" s="63"/>
      <c r="D56" s="63"/>
      <c r="E56" s="131">
        <f>E53</f>
        <v>67.606625499999865</v>
      </c>
      <c r="F56" s="131">
        <f>F53</f>
        <v>323.20212759999981</v>
      </c>
      <c r="G56" s="131">
        <f>G53</f>
        <v>318.05322970000066</v>
      </c>
      <c r="H56" s="131">
        <f>H53</f>
        <v>454.79213179999988</v>
      </c>
      <c r="I56" s="131">
        <f>I53</f>
        <v>503.79863390000014</v>
      </c>
    </row>
    <row r="57" spans="2:9" x14ac:dyDescent="0.2">
      <c r="B57" s="63" t="s">
        <v>126</v>
      </c>
      <c r="C57" s="63"/>
      <c r="D57" s="63"/>
      <c r="E57" s="131">
        <f>$F$15*$E$15</f>
        <v>316.45460000000003</v>
      </c>
      <c r="F57" s="131">
        <f>$F$15*$E$15</f>
        <v>316.45460000000003</v>
      </c>
      <c r="G57" s="131">
        <f>$F$15*$E$15</f>
        <v>316.45460000000003</v>
      </c>
      <c r="H57" s="131">
        <f>$F$15*$E$15</f>
        <v>316.45460000000003</v>
      </c>
      <c r="I57" s="131">
        <f>$F$15*$E$15</f>
        <v>316.45460000000003</v>
      </c>
    </row>
    <row r="58" spans="2:9" x14ac:dyDescent="0.2">
      <c r="B58" s="63" t="s">
        <v>128</v>
      </c>
      <c r="C58" s="63"/>
      <c r="D58" s="63"/>
      <c r="E58" s="131">
        <f>E57</f>
        <v>316.45460000000003</v>
      </c>
      <c r="F58" s="131">
        <f>F57</f>
        <v>316.45460000000003</v>
      </c>
      <c r="G58" s="131">
        <f>G57</f>
        <v>316.45460000000003</v>
      </c>
      <c r="H58" s="131">
        <f>H57</f>
        <v>316.45460000000003</v>
      </c>
      <c r="I58" s="131">
        <f>I57</f>
        <v>316.45460000000003</v>
      </c>
    </row>
    <row r="59" spans="2:9" x14ac:dyDescent="0.2">
      <c r="B59" s="63" t="s">
        <v>125</v>
      </c>
      <c r="C59" s="63"/>
      <c r="D59" s="63"/>
      <c r="E59" s="131">
        <f>E58*$D$8</f>
        <v>72.784558000000004</v>
      </c>
      <c r="F59" s="131">
        <f>F58*$D$8</f>
        <v>72.784558000000004</v>
      </c>
      <c r="G59" s="131">
        <f>G58*$D$8</f>
        <v>72.784558000000004</v>
      </c>
      <c r="H59" s="131">
        <f>H58*$D$8</f>
        <v>72.784558000000004</v>
      </c>
      <c r="I59" s="131">
        <f>I58*$D$8</f>
        <v>72.784558000000004</v>
      </c>
    </row>
    <row r="60" spans="2:9" x14ac:dyDescent="0.2">
      <c r="B60" s="62" t="s">
        <v>134</v>
      </c>
      <c r="C60" s="62"/>
      <c r="D60" s="62"/>
      <c r="E60" s="137">
        <f>E56-E58+E59</f>
        <v>-176.06341650000016</v>
      </c>
      <c r="F60" s="137">
        <f>F56-F58+F59</f>
        <v>79.532085599999789</v>
      </c>
      <c r="G60" s="137">
        <f>G56-G58+G59</f>
        <v>74.383187700000633</v>
      </c>
      <c r="H60" s="137">
        <f>H56-H58+H59</f>
        <v>211.12208979999986</v>
      </c>
      <c r="I60" s="137">
        <f>I56-I58+I59</f>
        <v>260.12859190000012</v>
      </c>
    </row>
    <row r="61" spans="2:9" s="63" customFormat="1" x14ac:dyDescent="0.2">
      <c r="B61" s="63" t="s">
        <v>131</v>
      </c>
      <c r="E61" s="134">
        <f>(E60+E58)/E58</f>
        <v>0.44363767662091136</v>
      </c>
      <c r="F61" s="134">
        <f>(F60+F58)/F58</f>
        <v>1.2513222610763117</v>
      </c>
      <c r="G61" s="134">
        <f>(G60+G58)/G58</f>
        <v>1.2350516873510469</v>
      </c>
      <c r="H61" s="134">
        <f>(H60+H58)/H58</f>
        <v>1.6671481147690692</v>
      </c>
      <c r="I61" s="134">
        <f>(I60+I58)/I58</f>
        <v>1.8220091978438617</v>
      </c>
    </row>
    <row r="62" spans="2:9" x14ac:dyDescent="0.2">
      <c r="B62" s="63"/>
      <c r="C62" s="63"/>
      <c r="D62" s="63"/>
      <c r="E62" s="63"/>
      <c r="F62" s="63"/>
      <c r="G62" s="63"/>
      <c r="H62" s="63"/>
      <c r="I62" s="63"/>
    </row>
    <row r="63" spans="2:9" ht="9" customHeight="1" x14ac:dyDescent="0.2">
      <c r="E63" s="64"/>
      <c r="F63" s="64"/>
      <c r="G63" s="64"/>
      <c r="H63" s="64"/>
      <c r="I63" s="64"/>
    </row>
    <row r="64" spans="2:9" ht="9" customHeight="1" x14ac:dyDescent="0.2">
      <c r="E64" s="64"/>
      <c r="F64" s="64"/>
      <c r="G64" s="64"/>
      <c r="H64" s="64"/>
      <c r="I64" s="64"/>
    </row>
    <row r="65" spans="2:9" x14ac:dyDescent="0.2">
      <c r="B65" s="63" t="s">
        <v>80</v>
      </c>
      <c r="E65" s="64"/>
      <c r="F65" s="64"/>
      <c r="G65" s="64"/>
      <c r="H65" s="64"/>
      <c r="I65" s="64"/>
    </row>
    <row r="66" spans="2:9" x14ac:dyDescent="0.2">
      <c r="B66" s="87" t="s">
        <v>3</v>
      </c>
      <c r="E66" s="64"/>
      <c r="F66" s="64"/>
      <c r="G66" s="64"/>
      <c r="H66" s="64"/>
      <c r="I66" s="64"/>
    </row>
    <row r="67" spans="2:9" x14ac:dyDescent="0.2">
      <c r="B67" s="58" t="s">
        <v>81</v>
      </c>
      <c r="E67" s="64">
        <f>E13</f>
        <v>5753.72</v>
      </c>
      <c r="F67" s="64">
        <f>E72</f>
        <v>5466.0340000000006</v>
      </c>
      <c r="G67" s="64">
        <f>F72</f>
        <v>5090.191088120001</v>
      </c>
      <c r="H67" s="64">
        <f>G72</f>
        <v>4720.4645332362825</v>
      </c>
      <c r="I67" s="64">
        <f>H72</f>
        <v>4215.3195811539272</v>
      </c>
    </row>
    <row r="68" spans="2:9" x14ac:dyDescent="0.2">
      <c r="B68" s="58" t="s">
        <v>6</v>
      </c>
      <c r="E68" s="100">
        <f>E67*$F$13</f>
        <v>316.45460000000003</v>
      </c>
      <c r="F68" s="100">
        <f>F67*$F$13</f>
        <v>300.63187000000005</v>
      </c>
      <c r="G68" s="100">
        <f>G67*$F$13</f>
        <v>279.96050984660008</v>
      </c>
      <c r="H68" s="100">
        <f>H67*$F$13</f>
        <v>259.62554932799554</v>
      </c>
      <c r="I68" s="100">
        <f>I67*$F$13</f>
        <v>231.842576963466</v>
      </c>
    </row>
    <row r="69" spans="2:9" x14ac:dyDescent="0.2">
      <c r="B69" s="58" t="s">
        <v>7</v>
      </c>
      <c r="E69" s="100">
        <f>IF(E67&gt;E90, E90, E67)</f>
        <v>124.8561394999999</v>
      </c>
      <c r="F69" s="100">
        <f>IF(F67&gt;F90, F90, F67)</f>
        <v>375.84291187999986</v>
      </c>
      <c r="G69" s="100">
        <f>IF(G67&gt;G90, G90, G67)</f>
        <v>369.72655488371868</v>
      </c>
      <c r="H69" s="100">
        <f>IF(H67&gt;H90, H90, H67)</f>
        <v>505.1449520823553</v>
      </c>
      <c r="I69" s="100">
        <f>IF(I67&gt;I90, I90, I67)</f>
        <v>558.47001995434164</v>
      </c>
    </row>
    <row r="70" spans="2:9" x14ac:dyDescent="0.2">
      <c r="B70" s="58" t="s">
        <v>140</v>
      </c>
      <c r="E70" s="100">
        <f>$J$16*$E$13</f>
        <v>287.68600000000004</v>
      </c>
      <c r="F70" s="100">
        <f>$J$16*$E$13</f>
        <v>287.68600000000004</v>
      </c>
      <c r="G70" s="100">
        <f>$J$16*$E$13</f>
        <v>287.68600000000004</v>
      </c>
      <c r="H70" s="100">
        <f>$J$16*$E$13</f>
        <v>287.68600000000004</v>
      </c>
      <c r="I70" s="100">
        <f>$J$16*$E$13</f>
        <v>287.68600000000004</v>
      </c>
    </row>
    <row r="71" spans="2:9" x14ac:dyDescent="0.2">
      <c r="B71" s="58" t="s">
        <v>139</v>
      </c>
      <c r="E71" s="100">
        <f>IF(E69&gt;288, E69-288, 0)</f>
        <v>0</v>
      </c>
      <c r="F71" s="100">
        <f>IF(F69&gt;288, F69-288, 0)</f>
        <v>87.842911879999861</v>
      </c>
      <c r="G71" s="100">
        <f>IF(G69&gt;288, G69-288, 0)</f>
        <v>81.726554883718677</v>
      </c>
      <c r="H71" s="100">
        <f>IF(H69&gt;288, H69-288, 0)</f>
        <v>217.1449520823553</v>
      </c>
      <c r="I71" s="100">
        <f>IF(I69&gt;288, I69-288, 0)</f>
        <v>270.47001995434164</v>
      </c>
    </row>
    <row r="72" spans="2:9" x14ac:dyDescent="0.2">
      <c r="B72" s="58" t="s">
        <v>82</v>
      </c>
      <c r="E72" s="64">
        <f>E67-(E70+E71)</f>
        <v>5466.0340000000006</v>
      </c>
      <c r="F72" s="64">
        <f>F67-F69</f>
        <v>5090.191088120001</v>
      </c>
      <c r="G72" s="64">
        <f>G67-G69</f>
        <v>4720.4645332362825</v>
      </c>
      <c r="H72" s="64">
        <f>H67-H69</f>
        <v>4215.3195811539272</v>
      </c>
      <c r="I72" s="64">
        <f>I67-I69</f>
        <v>3656.8495611995854</v>
      </c>
    </row>
    <row r="73" spans="2:9" x14ac:dyDescent="0.2">
      <c r="E73" s="86"/>
      <c r="F73" s="86"/>
      <c r="G73" s="86"/>
      <c r="H73" s="86"/>
      <c r="I73" s="86"/>
    </row>
    <row r="74" spans="2:9" x14ac:dyDescent="0.2">
      <c r="B74" s="87" t="s">
        <v>4</v>
      </c>
      <c r="E74" s="64"/>
      <c r="F74" s="64"/>
      <c r="G74" s="64"/>
      <c r="H74" s="64"/>
      <c r="I74" s="64"/>
    </row>
    <row r="75" spans="2:9" x14ac:dyDescent="0.2">
      <c r="B75" s="58" t="s">
        <v>83</v>
      </c>
      <c r="E75" s="64">
        <f>E14</f>
        <v>1438.43</v>
      </c>
      <c r="F75" s="64">
        <f>E78</f>
        <v>1438.43</v>
      </c>
      <c r="G75" s="64">
        <f>F78</f>
        <v>1438.43</v>
      </c>
      <c r="H75" s="64">
        <f>G78</f>
        <v>1438.43</v>
      </c>
      <c r="I75" s="64">
        <f>H78</f>
        <v>1438.43</v>
      </c>
    </row>
    <row r="76" spans="2:9" x14ac:dyDescent="0.2">
      <c r="B76" s="58" t="s">
        <v>6</v>
      </c>
      <c r="E76" s="100">
        <f>E75*$F$14</f>
        <v>107.88225</v>
      </c>
      <c r="F76" s="100">
        <f>F75*$F$14</f>
        <v>107.88225</v>
      </c>
      <c r="G76" s="100">
        <f>G75*$F$14</f>
        <v>107.88225</v>
      </c>
      <c r="H76" s="100">
        <f>H75*$F$14</f>
        <v>107.88225</v>
      </c>
      <c r="I76" s="100">
        <f>I75*$F$14</f>
        <v>107.88225</v>
      </c>
    </row>
    <row r="77" spans="2:9" x14ac:dyDescent="0.2">
      <c r="B77" s="58" t="s">
        <v>7</v>
      </c>
      <c r="E77" s="100">
        <f>E69-E90</f>
        <v>0</v>
      </c>
      <c r="F77" s="100">
        <f>F69-F90</f>
        <v>0</v>
      </c>
      <c r="G77" s="100">
        <f>G69-G90</f>
        <v>0</v>
      </c>
      <c r="H77" s="100">
        <f>H69-H90</f>
        <v>0</v>
      </c>
      <c r="I77" s="100">
        <f>I69-I90</f>
        <v>0</v>
      </c>
    </row>
    <row r="78" spans="2:9" x14ac:dyDescent="0.2">
      <c r="B78" s="58" t="s">
        <v>8</v>
      </c>
      <c r="E78" s="64">
        <f>E75-E77</f>
        <v>1438.43</v>
      </c>
      <c r="F78" s="64">
        <f>F75-F77</f>
        <v>1438.43</v>
      </c>
      <c r="G78" s="64">
        <f>G75-G77</f>
        <v>1438.43</v>
      </c>
      <c r="H78" s="64">
        <f>H75-H77</f>
        <v>1438.43</v>
      </c>
      <c r="I78" s="64">
        <f>I75-I77</f>
        <v>1438.43</v>
      </c>
    </row>
    <row r="80" spans="2:9" x14ac:dyDescent="0.2">
      <c r="B80" s="58" t="s">
        <v>103</v>
      </c>
      <c r="E80" s="105">
        <f>E36-E68-E76</f>
        <v>257.6951499999999</v>
      </c>
      <c r="F80" s="105">
        <f>F36-F68-F76</f>
        <v>516.9298799999998</v>
      </c>
      <c r="G80" s="105">
        <f>G36-G68-G76</f>
        <v>520.26884015340067</v>
      </c>
      <c r="H80" s="105">
        <f>H36-H68-H76</f>
        <v>665.15920067200443</v>
      </c>
      <c r="I80" s="105">
        <f>I36-I68-I76</f>
        <v>729.76517303653429</v>
      </c>
    </row>
    <row r="81" spans="2:9" x14ac:dyDescent="0.2">
      <c r="B81"/>
      <c r="E81" s="64"/>
      <c r="F81" s="64"/>
      <c r="G81" s="64"/>
      <c r="H81" s="64"/>
      <c r="I81" s="64"/>
    </row>
    <row r="82" spans="2:9" x14ac:dyDescent="0.2">
      <c r="B82" s="87" t="s">
        <v>75</v>
      </c>
      <c r="E82" s="64"/>
      <c r="F82" s="64"/>
      <c r="G82" s="64"/>
      <c r="H82" s="64"/>
      <c r="I82" s="64"/>
    </row>
    <row r="83" spans="2:9" x14ac:dyDescent="0.2">
      <c r="B83" s="58" t="s">
        <v>83</v>
      </c>
      <c r="E83" s="64">
        <f>E15</f>
        <v>2876.86</v>
      </c>
      <c r="F83" s="64">
        <f>E86</f>
        <v>2934.3972000000003</v>
      </c>
      <c r="G83" s="64">
        <f>F86</f>
        <v>2993.0851440000001</v>
      </c>
      <c r="H83" s="64">
        <f>G86</f>
        <v>3052.9468468800001</v>
      </c>
      <c r="I83" s="64">
        <f>H86</f>
        <v>3114.0057838175999</v>
      </c>
    </row>
    <row r="84" spans="2:9" x14ac:dyDescent="0.2">
      <c r="B84" s="58" t="s">
        <v>6</v>
      </c>
      <c r="E84" s="100">
        <f>E83*$F$15</f>
        <v>316.45460000000003</v>
      </c>
      <c r="F84" s="100">
        <f>F83*$F$15</f>
        <v>322.78369200000003</v>
      </c>
      <c r="G84" s="100">
        <f>G83*$F$15</f>
        <v>329.23936584</v>
      </c>
      <c r="H84" s="100">
        <f>H83*$F$15</f>
        <v>335.82415315680004</v>
      </c>
      <c r="I84" s="100">
        <f>I83*$F$15</f>
        <v>342.540636219936</v>
      </c>
    </row>
    <row r="85" spans="2:9" x14ac:dyDescent="0.2">
      <c r="B85" s="58" t="s">
        <v>33</v>
      </c>
      <c r="E85" s="100">
        <f>E83*$G$15</f>
        <v>57.537200000000006</v>
      </c>
      <c r="F85" s="100">
        <f>F83*$G$15</f>
        <v>58.687944000000009</v>
      </c>
      <c r="G85" s="100">
        <f>G83*$G$15</f>
        <v>59.861702880000003</v>
      </c>
      <c r="H85" s="100">
        <f>H83*$G$15</f>
        <v>61.058936937600002</v>
      </c>
      <c r="I85" s="100">
        <f>I83*$G$15</f>
        <v>62.280115676351997</v>
      </c>
    </row>
    <row r="86" spans="2:9" x14ac:dyDescent="0.2">
      <c r="B86" s="58" t="s">
        <v>8</v>
      </c>
      <c r="E86" s="64">
        <f>E83+E85</f>
        <v>2934.3972000000003</v>
      </c>
      <c r="F86" s="64">
        <f>F83+F85</f>
        <v>2993.0851440000001</v>
      </c>
      <c r="G86" s="64">
        <f>G83+G85</f>
        <v>3052.9468468800001</v>
      </c>
      <c r="H86" s="64">
        <f>H83+H85</f>
        <v>3114.0057838175999</v>
      </c>
      <c r="I86" s="64">
        <f>I83+I85</f>
        <v>3176.285899493952</v>
      </c>
    </row>
    <row r="87" spans="2:9" x14ac:dyDescent="0.2">
      <c r="E87" s="107"/>
      <c r="F87" s="107"/>
      <c r="G87" s="107"/>
      <c r="H87" s="107"/>
      <c r="I87" s="107"/>
    </row>
    <row r="88" spans="2:9" x14ac:dyDescent="0.2">
      <c r="B88" s="58" t="s">
        <v>84</v>
      </c>
      <c r="E88" s="100">
        <f>E68+E76+E84</f>
        <v>740.79145000000005</v>
      </c>
      <c r="F88" s="100">
        <f>F68+F76+F84</f>
        <v>731.29781200000002</v>
      </c>
      <c r="G88" s="100">
        <f>G68+G76+G84</f>
        <v>717.08212568660008</v>
      </c>
      <c r="H88" s="100">
        <f>H68+H76+H84</f>
        <v>703.33195248479558</v>
      </c>
      <c r="I88" s="100">
        <f>I68+I76+I84</f>
        <v>682.26546318340206</v>
      </c>
    </row>
    <row r="89" spans="2:9" x14ac:dyDescent="0.2">
      <c r="B89" s="58" t="s">
        <v>85</v>
      </c>
      <c r="E89" s="100">
        <f>(E88+E85)*$D$8</f>
        <v>183.61558950000003</v>
      </c>
      <c r="F89" s="100">
        <f>(F88+F85)*$D$8</f>
        <v>181.69672388000001</v>
      </c>
      <c r="G89" s="100">
        <f>(G88+G85)*$D$8</f>
        <v>178.69708057031804</v>
      </c>
      <c r="H89" s="100">
        <f>(H88+H85)*$D$8</f>
        <v>175.80990456715099</v>
      </c>
      <c r="I89" s="100">
        <f>(I88+I85)*$D$8</f>
        <v>171.24548313774343</v>
      </c>
    </row>
    <row r="90" spans="2:9" x14ac:dyDescent="0.2">
      <c r="B90" s="58" t="s">
        <v>86</v>
      </c>
      <c r="E90" s="100">
        <f>E36-E88+E89</f>
        <v>124.8561394999999</v>
      </c>
      <c r="F90" s="100">
        <f>F36-F88+F89</f>
        <v>375.84291187999986</v>
      </c>
      <c r="G90" s="100">
        <f>G36-G88+G89</f>
        <v>369.72655488371868</v>
      </c>
      <c r="H90" s="100">
        <f>H36-H88+H89</f>
        <v>505.1449520823553</v>
      </c>
      <c r="I90" s="100">
        <f>I36-I88+I89</f>
        <v>558.47001995434164</v>
      </c>
    </row>
    <row r="91" spans="2:9" x14ac:dyDescent="0.2">
      <c r="B91" s="58" t="s">
        <v>87</v>
      </c>
      <c r="E91" s="100">
        <f>E72+E78+E86</f>
        <v>9838.8612000000012</v>
      </c>
      <c r="F91" s="100">
        <f>F72+F78+F86</f>
        <v>9521.706232120001</v>
      </c>
      <c r="G91" s="100">
        <f>G72+G78+G86</f>
        <v>9211.8413801162824</v>
      </c>
      <c r="H91" s="100">
        <f>H72+H78+H86</f>
        <v>8767.7553649715264</v>
      </c>
      <c r="I91" s="100">
        <f>I72+I78+I86</f>
        <v>8271.5654606935368</v>
      </c>
    </row>
    <row r="92" spans="2:9" x14ac:dyDescent="0.2">
      <c r="E92" s="64"/>
      <c r="F92" s="64"/>
      <c r="G92" s="64"/>
      <c r="H92" s="64"/>
      <c r="I92" s="64"/>
    </row>
    <row r="93" spans="2:9" x14ac:dyDescent="0.2">
      <c r="B93" s="58" t="s">
        <v>100</v>
      </c>
      <c r="E93" s="100">
        <f>D9</f>
        <v>0</v>
      </c>
      <c r="F93" s="100">
        <f>E95</f>
        <v>0</v>
      </c>
      <c r="G93" s="100">
        <f>F95</f>
        <v>0</v>
      </c>
      <c r="H93" s="100">
        <f>G95</f>
        <v>0</v>
      </c>
      <c r="I93" s="100">
        <f>H95</f>
        <v>0</v>
      </c>
    </row>
    <row r="94" spans="2:9" x14ac:dyDescent="0.2">
      <c r="B94" s="58" t="s">
        <v>101</v>
      </c>
      <c r="E94" s="100">
        <f>E36-E88-E69+E89</f>
        <v>0</v>
      </c>
      <c r="F94" s="100">
        <f>F36-F88-F69+F89</f>
        <v>0</v>
      </c>
      <c r="G94" s="100">
        <f>G36-G88-G69+G89</f>
        <v>0</v>
      </c>
      <c r="H94" s="100">
        <f>H36-H88-H69+H89</f>
        <v>0</v>
      </c>
      <c r="I94" s="100">
        <f>I36-I88-I69+I89</f>
        <v>0</v>
      </c>
    </row>
    <row r="95" spans="2:9" ht="16" thickBot="1" x14ac:dyDescent="0.25">
      <c r="B95" s="65" t="s">
        <v>102</v>
      </c>
      <c r="C95" s="65"/>
      <c r="D95" s="65"/>
      <c r="E95" s="119">
        <f>E93+E94</f>
        <v>0</v>
      </c>
      <c r="F95" s="119">
        <f>F93+F94</f>
        <v>0</v>
      </c>
      <c r="G95" s="119">
        <f>G93+G94</f>
        <v>0</v>
      </c>
      <c r="H95" s="119">
        <f>H93+H94</f>
        <v>0</v>
      </c>
      <c r="I95" s="119">
        <f>I93+I94</f>
        <v>0</v>
      </c>
    </row>
    <row r="96" spans="2:9" ht="16" thickTop="1" x14ac:dyDescent="0.2">
      <c r="E96" s="64"/>
      <c r="F96" s="64"/>
      <c r="G96" s="64"/>
      <c r="H96" s="64"/>
      <c r="I96" s="64"/>
    </row>
    <row r="97" spans="1:9" x14ac:dyDescent="0.2">
      <c r="B97" s="145" t="s">
        <v>99</v>
      </c>
      <c r="C97" s="145"/>
      <c r="D97" s="145"/>
      <c r="E97" s="145"/>
      <c r="F97" s="145"/>
      <c r="G97" s="145"/>
      <c r="H97" s="145"/>
      <c r="I97" s="145"/>
    </row>
    <row r="98" spans="1:9" x14ac:dyDescent="0.2">
      <c r="B98" s="146" t="s">
        <v>36</v>
      </c>
      <c r="C98" s="146"/>
      <c r="D98" s="146"/>
      <c r="E98" s="146"/>
      <c r="F98" s="146"/>
      <c r="G98" s="146"/>
      <c r="H98" s="146"/>
      <c r="I98" s="146"/>
    </row>
    <row r="99" spans="1:9" ht="16" x14ac:dyDescent="0.2">
      <c r="A99" s="108"/>
      <c r="B99"/>
      <c r="C99"/>
      <c r="D99"/>
      <c r="E99" s="109" t="s">
        <v>96</v>
      </c>
      <c r="F99" s="109"/>
      <c r="G99" s="109"/>
      <c r="H99" s="109"/>
      <c r="I99"/>
    </row>
    <row r="100" spans="1:9" x14ac:dyDescent="0.2">
      <c r="A100"/>
      <c r="B100"/>
      <c r="C100"/>
      <c r="D100" s="113"/>
      <c r="E100" s="114">
        <v>1</v>
      </c>
      <c r="F100" s="114">
        <v>2</v>
      </c>
      <c r="G100" s="114">
        <v>3</v>
      </c>
      <c r="H100" s="114">
        <v>4</v>
      </c>
      <c r="I100" s="114">
        <v>5</v>
      </c>
    </row>
    <row r="101" spans="1:9" x14ac:dyDescent="0.2">
      <c r="A101"/>
      <c r="B101" s="58" t="s">
        <v>97</v>
      </c>
      <c r="D101" s="115">
        <f>I6</f>
        <v>9</v>
      </c>
      <c r="E101" s="116">
        <f>E29*$D$101</f>
        <v>12945.869999999999</v>
      </c>
      <c r="F101" s="116">
        <f>F29*$D$101</f>
        <v>13326.119999999999</v>
      </c>
      <c r="G101" s="116">
        <f>G29*$D$101</f>
        <v>13291.470000000008</v>
      </c>
      <c r="H101" s="116">
        <f>H29*$D$101</f>
        <v>15413.49</v>
      </c>
      <c r="I101" s="116">
        <f>I29*$D$101</f>
        <v>16171.830000000004</v>
      </c>
    </row>
    <row r="102" spans="1:9" x14ac:dyDescent="0.2">
      <c r="A102"/>
      <c r="C102"/>
      <c r="D102" s="113"/>
      <c r="E102" s="113"/>
      <c r="F102" s="113"/>
      <c r="G102" s="113"/>
      <c r="H102" s="113"/>
      <c r="I102" s="113"/>
    </row>
    <row r="103" spans="1:9" x14ac:dyDescent="0.2">
      <c r="A103"/>
      <c r="B103" s="58" t="s">
        <v>45</v>
      </c>
      <c r="C103"/>
      <c r="D103" s="113"/>
      <c r="E103" s="117">
        <f>E91</f>
        <v>9838.8612000000012</v>
      </c>
      <c r="F103" s="117">
        <f>F91</f>
        <v>9521.706232120001</v>
      </c>
      <c r="G103" s="117">
        <f>G91</f>
        <v>9211.8413801162824</v>
      </c>
      <c r="H103" s="117">
        <f>H91</f>
        <v>8767.7553649715264</v>
      </c>
      <c r="I103" s="117">
        <f>I91</f>
        <v>8271.5654606935368</v>
      </c>
    </row>
    <row r="104" spans="1:9" x14ac:dyDescent="0.2">
      <c r="A104"/>
      <c r="B104" s="58" t="s">
        <v>9</v>
      </c>
      <c r="C104"/>
      <c r="D104" s="113"/>
      <c r="E104" s="117">
        <f>E95</f>
        <v>0</v>
      </c>
      <c r="F104" s="117">
        <f>F95</f>
        <v>0</v>
      </c>
      <c r="G104" s="117">
        <f>G95</f>
        <v>0</v>
      </c>
      <c r="H104" s="117">
        <f>H95</f>
        <v>0</v>
      </c>
      <c r="I104" s="117">
        <f>I95</f>
        <v>0</v>
      </c>
    </row>
    <row r="105" spans="1:9" x14ac:dyDescent="0.2">
      <c r="A105"/>
      <c r="B105" s="58" t="s">
        <v>98</v>
      </c>
      <c r="C105"/>
      <c r="D105" s="113"/>
      <c r="E105" s="116">
        <f>E101-E103+E104</f>
        <v>3107.0087999999978</v>
      </c>
      <c r="F105" s="116">
        <f>F101-F103+F104</f>
        <v>3804.413767879998</v>
      </c>
      <c r="G105" s="116">
        <f>G101-G103+G104</f>
        <v>4079.6286198837261</v>
      </c>
      <c r="H105" s="116">
        <f>H101-H103+H104</f>
        <v>6645.7346350284733</v>
      </c>
      <c r="I105" s="116">
        <f>I101-I103+I104</f>
        <v>7900.2645393064668</v>
      </c>
    </row>
    <row r="106" spans="1:9" x14ac:dyDescent="0.2">
      <c r="A106"/>
      <c r="C106"/>
      <c r="D106" s="113"/>
      <c r="E106" s="113"/>
      <c r="F106" s="113"/>
      <c r="G106" s="113"/>
      <c r="H106" s="113"/>
      <c r="I106" s="113"/>
    </row>
    <row r="107" spans="1:9" x14ac:dyDescent="0.2">
      <c r="A107"/>
      <c r="B107" s="58" t="s">
        <v>69</v>
      </c>
      <c r="C107"/>
      <c r="D107" s="113"/>
      <c r="E107" s="118">
        <f>(E105/$E$16)^(1/E100)-1</f>
        <v>7.9999999999999183E-2</v>
      </c>
      <c r="F107" s="118">
        <f>(F105/$E$16)^(1/F100)-1</f>
        <v>0.14996469796852163</v>
      </c>
      <c r="G107" s="118">
        <f>(G105/$E$16)^(1/G100)-1</f>
        <v>0.12348505763180961</v>
      </c>
      <c r="H107" s="118">
        <f>(H105/$E$16)^(1/H100)-1</f>
        <v>0.23283815542101438</v>
      </c>
      <c r="I107" s="118">
        <f>(I105/$E$16)^(1/I100)-1</f>
        <v>0.22389618542414125</v>
      </c>
    </row>
    <row r="108" spans="1:9" x14ac:dyDescent="0.2">
      <c r="A108"/>
      <c r="B108" s="58" t="s">
        <v>106</v>
      </c>
      <c r="C108"/>
      <c r="D108" s="113"/>
      <c r="E108" s="120">
        <f>E105/$E$16</f>
        <v>1.0799999999999992</v>
      </c>
      <c r="F108" s="120">
        <f>F105/$E$16</f>
        <v>1.3224188065738331</v>
      </c>
      <c r="G108" s="120">
        <f>G105/$E$16</f>
        <v>1.4180838205139374</v>
      </c>
      <c r="H108" s="120">
        <f>H105/$E$16</f>
        <v>2.3100653612023083</v>
      </c>
      <c r="I108" s="120">
        <f>I105/$E$16</f>
        <v>2.7461414664969679</v>
      </c>
    </row>
    <row r="109" spans="1:9" x14ac:dyDescent="0.2">
      <c r="A109"/>
      <c r="B109" s="107"/>
      <c r="C109" s="107"/>
      <c r="D109" s="107"/>
      <c r="E109" s="107"/>
      <c r="F109" s="107"/>
      <c r="G109" s="107"/>
      <c r="H109" s="107"/>
      <c r="I109" s="107"/>
    </row>
    <row r="110" spans="1:9" x14ac:dyDescent="0.2">
      <c r="A110"/>
    </row>
    <row r="111" spans="1:9" ht="16" x14ac:dyDescent="0.2">
      <c r="A111"/>
      <c r="B111" s="121" t="s">
        <v>114</v>
      </c>
    </row>
    <row r="112" spans="1:9" x14ac:dyDescent="0.2">
      <c r="A112"/>
      <c r="B112" s="58" t="s">
        <v>111</v>
      </c>
      <c r="I112" s="81">
        <v>0.05</v>
      </c>
    </row>
    <row r="113" spans="1:10" x14ac:dyDescent="0.2">
      <c r="A113"/>
      <c r="B113" s="58" t="s">
        <v>112</v>
      </c>
      <c r="I113" s="117">
        <f>+I105*I112</f>
        <v>395.01322696532338</v>
      </c>
    </row>
    <row r="114" spans="1:10" x14ac:dyDescent="0.2">
      <c r="A114"/>
      <c r="B114" s="58" t="s">
        <v>110</v>
      </c>
      <c r="C114"/>
      <c r="D114" s="117">
        <f>-E15</f>
        <v>-2876.86</v>
      </c>
      <c r="E114" s="117">
        <f>E84</f>
        <v>316.45460000000003</v>
      </c>
      <c r="F114" s="117">
        <f>F84</f>
        <v>322.78369200000003</v>
      </c>
      <c r="G114" s="117">
        <f>G84</f>
        <v>329.23936584</v>
      </c>
      <c r="H114" s="117">
        <f>H84</f>
        <v>335.82415315680004</v>
      </c>
      <c r="I114" s="117">
        <f>I84+MIN(I86,I101-I78-I72)+I113</f>
        <v>3913.8397626792112</v>
      </c>
    </row>
    <row r="115" spans="1:10" x14ac:dyDescent="0.2">
      <c r="A115"/>
      <c r="B115" s="58" t="s">
        <v>115</v>
      </c>
      <c r="D115" s="122">
        <f>IRR(D114:I114)</f>
        <v>0.14968620152344214</v>
      </c>
    </row>
    <row r="116" spans="1:10" x14ac:dyDescent="0.2">
      <c r="A116"/>
      <c r="B116" s="58" t="s">
        <v>116</v>
      </c>
      <c r="D116" s="123">
        <f>SUM(E114:I114)/-D114</f>
        <v>1.8138322941248481</v>
      </c>
    </row>
    <row r="117" spans="1:10" x14ac:dyDescent="0.2">
      <c r="A117"/>
    </row>
    <row r="118" spans="1:10" ht="16" x14ac:dyDescent="0.2">
      <c r="A118"/>
      <c r="B118" s="121" t="s">
        <v>113</v>
      </c>
    </row>
    <row r="119" spans="1:10" x14ac:dyDescent="0.2">
      <c r="A119"/>
      <c r="B119" s="58" t="s">
        <v>117</v>
      </c>
      <c r="D119" s="117">
        <f>-E16</f>
        <v>-2876.86</v>
      </c>
      <c r="E119" s="117">
        <v>0</v>
      </c>
      <c r="F119" s="117">
        <v>0</v>
      </c>
      <c r="G119" s="117">
        <v>0</v>
      </c>
      <c r="H119" s="117">
        <v>0</v>
      </c>
      <c r="I119" s="117">
        <f>I105-I113</f>
        <v>7505.2513123411436</v>
      </c>
    </row>
    <row r="120" spans="1:10" x14ac:dyDescent="0.2">
      <c r="A120"/>
      <c r="B120" s="58" t="s">
        <v>118</v>
      </c>
      <c r="D120" s="122">
        <f>IRR(D119:I119)</f>
        <v>0.21140483376324037</v>
      </c>
    </row>
    <row r="121" spans="1:10" x14ac:dyDescent="0.2">
      <c r="A121"/>
      <c r="B121" s="58" t="s">
        <v>119</v>
      </c>
      <c r="C121"/>
      <c r="D121" s="123">
        <f>SUM(E119:I119)/-D119</f>
        <v>2.6088343931721192</v>
      </c>
    </row>
    <row r="122" spans="1:10" ht="16" thickBot="1" x14ac:dyDescent="0.25">
      <c r="A122"/>
      <c r="B122" s="65"/>
      <c r="C122" s="65"/>
      <c r="D122" s="65"/>
      <c r="E122" s="110"/>
      <c r="F122" s="110"/>
      <c r="G122" s="110"/>
      <c r="H122" s="110"/>
      <c r="I122" s="110"/>
    </row>
    <row r="123" spans="1:10" ht="16" thickTop="1" x14ac:dyDescent="0.2">
      <c r="A123"/>
    </row>
    <row r="124" spans="1:10" x14ac:dyDescent="0.2">
      <c r="A124"/>
      <c r="B124" s="145" t="s">
        <v>107</v>
      </c>
      <c r="C124" s="145"/>
      <c r="D124" s="145"/>
      <c r="E124" s="145"/>
      <c r="F124" s="145"/>
      <c r="G124" s="145"/>
      <c r="H124" s="145"/>
      <c r="I124" s="145"/>
      <c r="J124"/>
    </row>
    <row r="125" spans="1:10" x14ac:dyDescent="0.2">
      <c r="I125"/>
      <c r="J125"/>
    </row>
    <row r="126" spans="1:10" x14ac:dyDescent="0.2">
      <c r="F126" s="58" t="s">
        <v>114</v>
      </c>
      <c r="I126"/>
      <c r="J126"/>
    </row>
    <row r="127" spans="1:10" x14ac:dyDescent="0.2">
      <c r="C127" s="147" t="s">
        <v>67</v>
      </c>
      <c r="D127" s="147"/>
      <c r="E127" s="147"/>
      <c r="F127" s="147"/>
      <c r="G127" s="147"/>
      <c r="H127" s="147"/>
      <c r="I127" s="147"/>
    </row>
    <row r="128" spans="1:10" x14ac:dyDescent="0.2">
      <c r="B128" s="82"/>
      <c r="C128" s="124" t="s">
        <v>10</v>
      </c>
      <c r="D128" s="124"/>
      <c r="E128" s="124"/>
      <c r="F128" s="124"/>
      <c r="G128" s="124"/>
      <c r="H128" s="124"/>
      <c r="I128" s="73"/>
    </row>
    <row r="129" spans="2:9" x14ac:dyDescent="0.2">
      <c r="C129" s="111">
        <f>D115</f>
        <v>0.14968620152344214</v>
      </c>
      <c r="D129" s="83">
        <v>6</v>
      </c>
      <c r="E129" s="83">
        <v>7.5</v>
      </c>
      <c r="F129" s="83">
        <v>8</v>
      </c>
      <c r="G129" s="83">
        <v>9</v>
      </c>
      <c r="H129" s="83">
        <v>10</v>
      </c>
      <c r="I129" s="83">
        <v>11</v>
      </c>
    </row>
    <row r="130" spans="2:9" ht="14.5" customHeight="1" x14ac:dyDescent="0.2">
      <c r="B130" s="144" t="s">
        <v>68</v>
      </c>
      <c r="C130" s="112">
        <v>-0.2</v>
      </c>
      <c r="D130" s="129">
        <f t="dataTable" ref="D130:I135" dt2D="1" dtr="1" r1="D101" r2="C30" ca="1"/>
        <v>0.13373411295363091</v>
      </c>
      <c r="E130" s="129">
        <v>0.14052224367402655</v>
      </c>
      <c r="F130" s="129">
        <v>0.14274597553145751</v>
      </c>
      <c r="G130" s="129">
        <v>0.14713722533096041</v>
      </c>
      <c r="H130" s="129">
        <v>0.15145587919867864</v>
      </c>
      <c r="I130" s="129">
        <v>0.15570462104703564</v>
      </c>
    </row>
    <row r="131" spans="2:9" x14ac:dyDescent="0.2">
      <c r="B131" s="144"/>
      <c r="C131" s="112">
        <v>-0.1</v>
      </c>
      <c r="D131" s="129">
        <v>0.13507924634144231</v>
      </c>
      <c r="E131" s="129">
        <v>0.14183261339349462</v>
      </c>
      <c r="F131" s="129">
        <v>0.14404520777010532</v>
      </c>
      <c r="G131" s="129">
        <v>0.14841481794112621</v>
      </c>
      <c r="H131" s="129">
        <v>0.15271263809741575</v>
      </c>
      <c r="I131" s="129">
        <v>0.15694130608907586</v>
      </c>
    </row>
    <row r="132" spans="2:9" ht="16" x14ac:dyDescent="0.2">
      <c r="B132" s="144"/>
      <c r="C132" s="112">
        <v>0</v>
      </c>
      <c r="D132" s="129">
        <v>0.13641739791347374</v>
      </c>
      <c r="E132" s="141">
        <v>0.14313640544024442</v>
      </c>
      <c r="F132" s="129">
        <v>0.14533798894513916</v>
      </c>
      <c r="G132" s="140">
        <v>0.14968620152344214</v>
      </c>
      <c r="H132" s="129">
        <v>0.15396341607009489</v>
      </c>
      <c r="I132" s="129">
        <v>0.15817222544414311</v>
      </c>
    </row>
    <row r="133" spans="2:9" x14ac:dyDescent="0.2">
      <c r="B133" s="144"/>
      <c r="C133" s="112">
        <v>0.05</v>
      </c>
      <c r="D133" s="129">
        <v>0.13708388128374338</v>
      </c>
      <c r="E133" s="129">
        <v>0.14378585830795787</v>
      </c>
      <c r="F133" s="129">
        <v>0.14598198315288147</v>
      </c>
      <c r="G133" s="129">
        <v>0.1503195863768334</v>
      </c>
      <c r="H133" s="129">
        <v>0.15458658243783008</v>
      </c>
      <c r="I133" s="129">
        <v>0.15878554209126317</v>
      </c>
    </row>
    <row r="134" spans="2:9" x14ac:dyDescent="0.2">
      <c r="B134" s="144"/>
      <c r="C134" s="112">
        <v>0.08</v>
      </c>
      <c r="D134" s="129">
        <v>0.13748294759245194</v>
      </c>
      <c r="E134" s="129">
        <v>0.14417475355906473</v>
      </c>
      <c r="F134" s="129">
        <v>0.14636761801716447</v>
      </c>
      <c r="G134" s="129">
        <v>0.15069888395056319</v>
      </c>
      <c r="H134" s="129">
        <v>0.15495977562601326</v>
      </c>
      <c r="I134" s="129">
        <v>0.15915285065990092</v>
      </c>
    </row>
    <row r="135" spans="2:9" x14ac:dyDescent="0.2">
      <c r="B135" s="144"/>
      <c r="C135" s="112">
        <v>0.1</v>
      </c>
      <c r="D135" s="129">
        <v>0.13774864992821212</v>
      </c>
      <c r="E135" s="129">
        <v>0.14443369475600432</v>
      </c>
      <c r="F135" s="129">
        <v>0.14662439175698117</v>
      </c>
      <c r="G135" s="129">
        <v>0.15095144456238918</v>
      </c>
      <c r="H135" s="129">
        <v>0.15520827771169965</v>
      </c>
      <c r="I135" s="129">
        <v>0.15939744011278556</v>
      </c>
    </row>
    <row r="138" spans="2:9" x14ac:dyDescent="0.2">
      <c r="C138" s="147" t="s">
        <v>67</v>
      </c>
      <c r="D138" s="147"/>
      <c r="E138" s="147"/>
      <c r="F138" s="147"/>
      <c r="G138" s="147"/>
      <c r="H138" s="147"/>
      <c r="I138" s="147"/>
    </row>
    <row r="139" spans="2:9" x14ac:dyDescent="0.2">
      <c r="B139" s="82"/>
      <c r="C139" s="124" t="s">
        <v>10</v>
      </c>
      <c r="D139" s="124"/>
      <c r="E139" s="124"/>
      <c r="F139" s="124"/>
      <c r="G139" s="124"/>
      <c r="H139" s="124"/>
      <c r="I139" s="73"/>
    </row>
    <row r="140" spans="2:9" x14ac:dyDescent="0.2">
      <c r="C140" s="111">
        <f>D120</f>
        <v>0.21140483376324037</v>
      </c>
      <c r="D140" s="83">
        <v>6</v>
      </c>
      <c r="E140" s="83">
        <v>7.5</v>
      </c>
      <c r="F140" s="83">
        <v>8</v>
      </c>
      <c r="G140" s="83">
        <v>9</v>
      </c>
      <c r="H140" s="83">
        <v>10</v>
      </c>
      <c r="I140" s="83">
        <v>11</v>
      </c>
    </row>
    <row r="141" spans="2:9" x14ac:dyDescent="0.2">
      <c r="B141" s="144" t="s">
        <v>68</v>
      </c>
      <c r="C141" s="112">
        <v>-0.2</v>
      </c>
      <c r="D141" s="129">
        <f t="dataTable" ref="D141:I146" dt2D="1" dtr="1" r1="D101" r2="C30"/>
        <v>-0.13663365687615669</v>
      </c>
      <c r="E141" s="129">
        <v>6.4948147882204488E-2</v>
      </c>
      <c r="F141" s="129">
        <v>0.10753560426458009</v>
      </c>
      <c r="G141" s="129">
        <v>0.17710172382765887</v>
      </c>
      <c r="H141" s="129">
        <v>0.23329041795232586</v>
      </c>
      <c r="I141" s="129">
        <v>0.28078544149113172</v>
      </c>
    </row>
    <row r="142" spans="2:9" x14ac:dyDescent="0.2">
      <c r="B142" s="144"/>
      <c r="C142" s="112">
        <v>-0.1</v>
      </c>
      <c r="D142" s="129">
        <v>-8.1360197488488661E-2</v>
      </c>
      <c r="E142" s="129">
        <v>9.0798849184863251E-2</v>
      </c>
      <c r="F142" s="129">
        <v>0.12981809041640457</v>
      </c>
      <c r="G142" s="129">
        <v>0.19474557590788932</v>
      </c>
      <c r="H142" s="129">
        <v>0.24802142265809768</v>
      </c>
      <c r="I142" s="129">
        <v>0.29350112239813497</v>
      </c>
    </row>
    <row r="143" spans="2:9" ht="16" x14ac:dyDescent="0.2">
      <c r="B143" s="144"/>
      <c r="C143" s="112">
        <v>0</v>
      </c>
      <c r="D143" s="129">
        <v>-3.6872542390363194E-2</v>
      </c>
      <c r="E143" s="141">
        <v>0.11440857984723274</v>
      </c>
      <c r="F143" s="129">
        <v>0.15046991017397704</v>
      </c>
      <c r="G143" s="140">
        <v>0.21140483376324037</v>
      </c>
      <c r="H143" s="129">
        <v>0.26208806467035806</v>
      </c>
      <c r="I143" s="129">
        <v>0.30573561002747263</v>
      </c>
    </row>
    <row r="144" spans="2:9" x14ac:dyDescent="0.2">
      <c r="B144" s="144"/>
      <c r="C144" s="112">
        <v>0.05</v>
      </c>
      <c r="D144" s="129">
        <v>-1.7394797709824661E-2</v>
      </c>
      <c r="E144" s="129">
        <v>0.12550071993692469</v>
      </c>
      <c r="F144" s="129">
        <v>0.16026353301456675</v>
      </c>
      <c r="G144" s="129">
        <v>0.21940220096963015</v>
      </c>
      <c r="H144" s="129">
        <v>0.26889257389933396</v>
      </c>
      <c r="I144" s="129">
        <v>0.31168482870048853</v>
      </c>
    </row>
    <row r="145" spans="2:9" x14ac:dyDescent="0.2">
      <c r="B145" s="144"/>
      <c r="C145" s="112">
        <v>0.08</v>
      </c>
      <c r="D145" s="129">
        <v>-6.4107084151445726E-3</v>
      </c>
      <c r="E145" s="129">
        <v>0.13195173543567051</v>
      </c>
      <c r="F145" s="129">
        <v>0.1659846416244557</v>
      </c>
      <c r="G145" s="129">
        <v>0.22410172903217562</v>
      </c>
      <c r="H145" s="129">
        <v>0.27290625405614777</v>
      </c>
      <c r="I145" s="129">
        <v>0.3152032012465944</v>
      </c>
    </row>
    <row r="146" spans="2:9" x14ac:dyDescent="0.2">
      <c r="B146" s="144"/>
      <c r="C146" s="112">
        <v>0.1</v>
      </c>
      <c r="D146" s="129">
        <v>6.5080361182867641E-4</v>
      </c>
      <c r="E146" s="129">
        <v>0.13617208401795455</v>
      </c>
      <c r="F146" s="129">
        <v>0.16973723590418732</v>
      </c>
      <c r="G146" s="129">
        <v>0.2271951096837761</v>
      </c>
      <c r="H146" s="129">
        <v>0.27555418008841515</v>
      </c>
      <c r="I146" s="129">
        <v>0.31752803331503743</v>
      </c>
    </row>
  </sheetData>
  <mergeCells count="13">
    <mergeCell ref="B21:I21"/>
    <mergeCell ref="B2:I2"/>
    <mergeCell ref="B3:I3"/>
    <mergeCell ref="B4:I4"/>
    <mergeCell ref="B19:I19"/>
    <mergeCell ref="B20:I20"/>
    <mergeCell ref="B141:B146"/>
    <mergeCell ref="B97:I97"/>
    <mergeCell ref="B98:I98"/>
    <mergeCell ref="B124:I124"/>
    <mergeCell ref="C127:I127"/>
    <mergeCell ref="B130:B135"/>
    <mergeCell ref="C138:I138"/>
  </mergeCells>
  <pageMargins left="0.7" right="0.7" top="0.75" bottom="0.75" header="0.3" footer="0.3"/>
  <pageSetup scale="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2234-6B6A-364B-9F25-815038104711}">
  <sheetPr>
    <pageSetUpPr fitToPage="1"/>
  </sheetPr>
  <dimension ref="A1:L147"/>
  <sheetViews>
    <sheetView showGridLines="0" topLeftCell="A2" zoomScaleNormal="100" workbookViewId="0">
      <selection activeCell="D18" sqref="D18"/>
    </sheetView>
  </sheetViews>
  <sheetFormatPr baseColWidth="10" defaultColWidth="9" defaultRowHeight="15" x14ac:dyDescent="0.2"/>
  <cols>
    <col min="1" max="1" width="46.33203125" style="58" bestFit="1" customWidth="1"/>
    <col min="2" max="2" width="53.83203125" style="58" bestFit="1" customWidth="1"/>
    <col min="3" max="3" width="10.5" style="58" bestFit="1" customWidth="1"/>
    <col min="4" max="4" width="7.6640625" style="58" bestFit="1" customWidth="1"/>
    <col min="5" max="5" width="10.33203125" style="58" bestFit="1" customWidth="1"/>
    <col min="6" max="6" width="12.5" style="58" bestFit="1" customWidth="1"/>
    <col min="7" max="7" width="8.6640625" style="58" bestFit="1" customWidth="1"/>
    <col min="8" max="8" width="13.6640625" style="58" customWidth="1"/>
    <col min="9" max="9" width="8.6640625" style="58" bestFit="1" customWidth="1"/>
    <col min="10" max="10" width="17" style="58" bestFit="1" customWidth="1"/>
    <col min="11" max="16384" width="9" style="58"/>
  </cols>
  <sheetData>
    <row r="1" spans="1:12" ht="16" thickBot="1" x14ac:dyDescent="0.25">
      <c r="A1" s="58" t="s">
        <v>124</v>
      </c>
      <c r="B1" s="65"/>
      <c r="C1" s="65"/>
      <c r="D1" s="65"/>
      <c r="E1" s="65"/>
      <c r="F1" s="65"/>
      <c r="G1" s="65"/>
      <c r="H1" s="65"/>
      <c r="I1" s="65"/>
    </row>
    <row r="2" spans="1:12" ht="16" thickTop="1" x14ac:dyDescent="0.2"/>
    <row r="3" spans="1:12" x14ac:dyDescent="0.2">
      <c r="B3" s="145" t="s">
        <v>91</v>
      </c>
      <c r="C3" s="145"/>
      <c r="D3" s="145"/>
      <c r="E3" s="145"/>
      <c r="F3" s="145"/>
      <c r="G3" s="145"/>
      <c r="H3" s="145"/>
      <c r="I3" s="145"/>
    </row>
    <row r="4" spans="1:12" x14ac:dyDescent="0.2">
      <c r="B4" s="146" t="s">
        <v>36</v>
      </c>
      <c r="C4" s="146"/>
      <c r="D4" s="146"/>
      <c r="E4" s="146"/>
      <c r="F4" s="146"/>
      <c r="G4" s="146"/>
      <c r="H4" s="146"/>
      <c r="I4" s="146"/>
    </row>
    <row r="5" spans="1:12" x14ac:dyDescent="0.2">
      <c r="B5" s="149" t="s">
        <v>65</v>
      </c>
      <c r="C5" s="149"/>
      <c r="D5" s="149"/>
      <c r="E5" s="149"/>
      <c r="F5" s="149"/>
      <c r="G5" s="149"/>
      <c r="H5" s="149"/>
      <c r="I5" s="149"/>
    </row>
    <row r="6" spans="1:12" ht="16" thickBot="1" x14ac:dyDescent="0.25">
      <c r="B6" s="65"/>
      <c r="C6" s="65"/>
      <c r="D6" s="65"/>
      <c r="E6" s="65"/>
      <c r="F6" s="65"/>
      <c r="G6" s="65"/>
      <c r="H6" s="65"/>
      <c r="I6" s="65"/>
    </row>
    <row r="7" spans="1:12" ht="16" thickTop="1" x14ac:dyDescent="0.2">
      <c r="B7" s="56" t="s">
        <v>63</v>
      </c>
      <c r="D7" s="100">
        <f>'Ex 10 Projections'!E18</f>
        <v>1438.43</v>
      </c>
      <c r="E7" s="91" t="s">
        <v>31</v>
      </c>
      <c r="H7" s="56" t="s">
        <v>76</v>
      </c>
      <c r="I7" s="79">
        <f>D13</f>
        <v>8</v>
      </c>
      <c r="L7" s="127"/>
    </row>
    <row r="8" spans="1:12" x14ac:dyDescent="0.2">
      <c r="B8" s="56" t="s">
        <v>62</v>
      </c>
      <c r="D8" s="81">
        <v>0.03</v>
      </c>
      <c r="H8" s="56" t="s">
        <v>73</v>
      </c>
      <c r="I8" s="101">
        <f>'Ex 11 Comps'!I16</f>
        <v>64.2</v>
      </c>
      <c r="J8" s="91" t="s">
        <v>35</v>
      </c>
    </row>
    <row r="9" spans="1:12" x14ac:dyDescent="0.2">
      <c r="B9" s="56" t="s">
        <v>32</v>
      </c>
      <c r="D9" s="99">
        <v>0.23</v>
      </c>
      <c r="E9" s="91" t="s">
        <v>31</v>
      </c>
      <c r="H9" s="56" t="s">
        <v>74</v>
      </c>
      <c r="I9" s="100">
        <f>('Ex 11 Comps'!I16*'Ex 11 Comps'!J16)+'Ex 11 Comps'!K16</f>
        <v>8758.648000000001</v>
      </c>
      <c r="J9" s="91" t="s">
        <v>90</v>
      </c>
    </row>
    <row r="10" spans="1:12" x14ac:dyDescent="0.2">
      <c r="B10" s="56" t="s">
        <v>104</v>
      </c>
      <c r="D10" s="100">
        <v>0</v>
      </c>
      <c r="E10" s="91" t="s">
        <v>105</v>
      </c>
      <c r="H10" s="84"/>
      <c r="I10" s="84"/>
      <c r="J10" s="91"/>
    </row>
    <row r="11" spans="1:12" x14ac:dyDescent="0.2">
      <c r="B11" s="60"/>
      <c r="E11" s="91"/>
      <c r="F11" s="56"/>
      <c r="H11" s="56"/>
      <c r="I11" s="84"/>
    </row>
    <row r="12" spans="1:12" ht="16" x14ac:dyDescent="0.2">
      <c r="B12" s="78" t="s">
        <v>66</v>
      </c>
      <c r="C12" s="70"/>
      <c r="D12" s="70"/>
      <c r="E12" s="71" t="s">
        <v>64</v>
      </c>
      <c r="F12" s="72" t="s">
        <v>34</v>
      </c>
      <c r="G12" s="72" t="s">
        <v>108</v>
      </c>
      <c r="J12" s="72" t="s">
        <v>109</v>
      </c>
    </row>
    <row r="13" spans="1:12" x14ac:dyDescent="0.2">
      <c r="B13" s="60" t="s">
        <v>77</v>
      </c>
      <c r="D13" s="76">
        <f>SUM(D14:D17)</f>
        <v>8</v>
      </c>
      <c r="E13" s="68">
        <f>D7*D13</f>
        <v>11507.44</v>
      </c>
      <c r="F13" s="73"/>
    </row>
    <row r="14" spans="1:12" x14ac:dyDescent="0.2">
      <c r="B14" s="60" t="s">
        <v>3</v>
      </c>
      <c r="D14" s="102">
        <v>3</v>
      </c>
      <c r="E14" s="68">
        <f>D14*$D$7</f>
        <v>4315.29</v>
      </c>
      <c r="F14" s="128">
        <f>D8+J14</f>
        <v>5.5E-2</v>
      </c>
      <c r="H14" s="74"/>
      <c r="I14" s="73"/>
      <c r="J14" s="125">
        <v>2.5000000000000001E-2</v>
      </c>
    </row>
    <row r="15" spans="1:12" x14ac:dyDescent="0.2">
      <c r="B15" s="60" t="s">
        <v>4</v>
      </c>
      <c r="D15" s="102">
        <v>1</v>
      </c>
      <c r="E15" s="68">
        <f>D15*$D$7</f>
        <v>1438.43</v>
      </c>
      <c r="F15" s="128">
        <f>D8+J15</f>
        <v>7.4999999999999997E-2</v>
      </c>
      <c r="H15" s="74"/>
      <c r="I15" s="73"/>
      <c r="J15" s="125">
        <v>4.4999999999999998E-2</v>
      </c>
    </row>
    <row r="16" spans="1:12" x14ac:dyDescent="0.2">
      <c r="B16" s="60" t="s">
        <v>121</v>
      </c>
      <c r="D16" s="102">
        <v>2</v>
      </c>
      <c r="E16" s="68">
        <f>D16*$D$7</f>
        <v>2876.86</v>
      </c>
      <c r="F16" s="81">
        <v>0.11</v>
      </c>
      <c r="G16" s="81">
        <v>0.02</v>
      </c>
      <c r="H16" s="74"/>
      <c r="I16" s="75"/>
      <c r="J16" s="58" t="s">
        <v>127</v>
      </c>
    </row>
    <row r="17" spans="2:11" ht="16" thickBot="1" x14ac:dyDescent="0.25">
      <c r="B17" s="77" t="s">
        <v>122</v>
      </c>
      <c r="C17" s="65"/>
      <c r="D17" s="103">
        <v>2</v>
      </c>
      <c r="E17" s="69">
        <f>E13-E14-E15-E16</f>
        <v>2876.86</v>
      </c>
      <c r="F17" s="65"/>
      <c r="G17" s="65"/>
      <c r="H17" s="65"/>
      <c r="I17" s="65"/>
      <c r="J17" s="132">
        <v>0.05</v>
      </c>
    </row>
    <row r="18" spans="2:11" ht="17" thickTop="1" thickBot="1" x14ac:dyDescent="0.25">
      <c r="B18" s="65"/>
      <c r="C18" s="65"/>
      <c r="D18" s="65"/>
      <c r="E18" s="65"/>
      <c r="F18" s="65"/>
      <c r="G18" s="65"/>
      <c r="H18" s="65"/>
      <c r="I18" s="65"/>
    </row>
    <row r="19" spans="2:11" ht="16" thickTop="1" x14ac:dyDescent="0.2">
      <c r="B19" s="60"/>
    </row>
    <row r="20" spans="2:11" x14ac:dyDescent="0.2">
      <c r="B20" s="145" t="s">
        <v>92</v>
      </c>
      <c r="C20" s="145"/>
      <c r="D20" s="145"/>
      <c r="E20" s="145"/>
      <c r="F20" s="145"/>
      <c r="G20" s="145"/>
      <c r="H20" s="145"/>
      <c r="I20" s="145"/>
    </row>
    <row r="21" spans="2:11" x14ac:dyDescent="0.2">
      <c r="B21" s="146" t="s">
        <v>36</v>
      </c>
      <c r="C21" s="146"/>
      <c r="D21" s="146"/>
      <c r="E21" s="146"/>
      <c r="F21" s="146"/>
      <c r="G21" s="146"/>
      <c r="H21" s="146"/>
      <c r="I21" s="146"/>
    </row>
    <row r="22" spans="2:11" x14ac:dyDescent="0.2">
      <c r="B22" s="148" t="s">
        <v>71</v>
      </c>
      <c r="C22" s="148"/>
      <c r="D22" s="148"/>
      <c r="E22" s="148"/>
      <c r="F22" s="148"/>
      <c r="G22" s="148"/>
      <c r="H22" s="148"/>
      <c r="I22" s="148"/>
      <c r="K22" s="58" t="s">
        <v>135</v>
      </c>
    </row>
    <row r="23" spans="2:11" ht="16" thickBot="1" x14ac:dyDescent="0.25">
      <c r="B23" s="65"/>
      <c r="C23" s="65"/>
      <c r="D23" s="65"/>
      <c r="E23" s="66"/>
      <c r="F23" s="67"/>
      <c r="G23" s="65"/>
      <c r="H23" s="65"/>
      <c r="I23" s="65"/>
      <c r="K23" s="58" t="s">
        <v>138</v>
      </c>
    </row>
    <row r="24" spans="2:11" s="63" customFormat="1" ht="16" thickTop="1" x14ac:dyDescent="0.2">
      <c r="B24" s="62"/>
      <c r="C24" s="62"/>
      <c r="D24" s="62">
        <v>2023</v>
      </c>
      <c r="E24" s="62">
        <v>2024</v>
      </c>
      <c r="F24" s="62">
        <v>2025</v>
      </c>
      <c r="G24" s="62">
        <v>2026</v>
      </c>
      <c r="H24" s="62">
        <v>2027</v>
      </c>
      <c r="I24" s="62">
        <v>2028</v>
      </c>
    </row>
    <row r="25" spans="2:11" x14ac:dyDescent="0.2">
      <c r="B25" s="58" t="str">
        <f>'Ex 10 Projections'!B11</f>
        <v>Total revenue</v>
      </c>
      <c r="D25" s="104">
        <f>'Ex 10 Projections'!D11</f>
        <v>8674.42</v>
      </c>
      <c r="E25" s="104">
        <f>'Ex 10 Projections'!E11</f>
        <v>8471</v>
      </c>
      <c r="F25" s="104">
        <f>'Ex 10 Projections'!F11</f>
        <v>8553</v>
      </c>
      <c r="G25" s="104">
        <f>'Ex 10 Projections'!G11</f>
        <v>8862.2900000000009</v>
      </c>
      <c r="H25" s="104">
        <f>'Ex 10 Projections'!H11</f>
        <v>9181.33</v>
      </c>
      <c r="I25" s="104">
        <f>'Ex 10 Projections'!I11</f>
        <v>9582.61</v>
      </c>
      <c r="J25" s="61"/>
      <c r="K25" s="61"/>
    </row>
    <row r="26" spans="2:11" x14ac:dyDescent="0.2">
      <c r="B26" s="58" t="str">
        <f>'Ex 10 Projections'!B12</f>
        <v xml:space="preserve">   Cost of goods sold</v>
      </c>
      <c r="D26" s="105">
        <f>'Ex 10 Projections'!D12</f>
        <v>4996.68</v>
      </c>
      <c r="E26" s="105">
        <f>'Ex 10 Projections'!E12</f>
        <v>5067.8</v>
      </c>
      <c r="F26" s="105">
        <f>'Ex 10 Projections'!F12</f>
        <v>5082.1000000000004</v>
      </c>
      <c r="G26" s="105">
        <f>'Ex 10 Projections'!G12</f>
        <v>5241.16</v>
      </c>
      <c r="H26" s="105">
        <f>'Ex 10 Projections'!H12</f>
        <v>5407.8</v>
      </c>
      <c r="I26" s="105">
        <f>'Ex 10 Projections'!I12</f>
        <v>5605.83</v>
      </c>
      <c r="J26" s="61"/>
      <c r="K26" s="61"/>
    </row>
    <row r="27" spans="2:11" x14ac:dyDescent="0.2">
      <c r="B27" s="58" t="str">
        <f>'Ex 10 Projections'!B13</f>
        <v>Gross profit</v>
      </c>
      <c r="D27" s="57">
        <f t="shared" ref="D27:I27" si="0">D25-D26</f>
        <v>3677.74</v>
      </c>
      <c r="E27" s="57">
        <f t="shared" si="0"/>
        <v>3403.2</v>
      </c>
      <c r="F27" s="57">
        <f t="shared" si="0"/>
        <v>3470.8999999999996</v>
      </c>
      <c r="G27" s="57">
        <f t="shared" si="0"/>
        <v>3621.130000000001</v>
      </c>
      <c r="H27" s="57">
        <f t="shared" si="0"/>
        <v>3773.5299999999997</v>
      </c>
      <c r="I27" s="57">
        <f t="shared" si="0"/>
        <v>3976.7800000000007</v>
      </c>
      <c r="J27" s="61"/>
      <c r="K27" s="61"/>
    </row>
    <row r="28" spans="2:11" x14ac:dyDescent="0.2">
      <c r="B28" s="58" t="str">
        <f>'Ex 10 Projections'!B14</f>
        <v xml:space="preserve">   Selling, general, and administrative expenses</v>
      </c>
      <c r="D28" s="104">
        <f>'Ex 10 Projections'!D14</f>
        <v>2179.31</v>
      </c>
      <c r="E28" s="104">
        <f>'Ex 10 Projections'!E14</f>
        <v>2189.6</v>
      </c>
      <c r="F28" s="104">
        <f>'Ex 10 Projections'!F14</f>
        <v>2223.6999999999998</v>
      </c>
      <c r="G28" s="104">
        <f>'Ex 10 Projections'!G14</f>
        <v>2395.0500000000002</v>
      </c>
      <c r="H28" s="104">
        <f>'Ex 10 Projections'!H14</f>
        <v>2313.4299999999998</v>
      </c>
      <c r="I28" s="104">
        <f>'Ex 10 Projections'!I14</f>
        <v>2443.7800000000002</v>
      </c>
      <c r="J28" s="61"/>
      <c r="K28" s="61"/>
    </row>
    <row r="29" spans="2:11" x14ac:dyDescent="0.2">
      <c r="B29" s="58" t="str">
        <f>'Ex 10 Projections'!B17</f>
        <v xml:space="preserve">   Depreciation and amortization</v>
      </c>
      <c r="D29" s="105">
        <f>'Ex 10 Projections'!D17</f>
        <v>214.2</v>
      </c>
      <c r="E29" s="105">
        <f>'Ex 10 Projections'!E17</f>
        <v>224.83</v>
      </c>
      <c r="F29" s="105">
        <f>'Ex 10 Projections'!F17</f>
        <v>233.48</v>
      </c>
      <c r="G29" s="105">
        <f>'Ex 10 Projections'!G17</f>
        <v>250.75</v>
      </c>
      <c r="H29" s="105">
        <f>'Ex 10 Projections'!H17</f>
        <v>252.51</v>
      </c>
      <c r="I29" s="105">
        <f>'Ex 10 Projections'!I17</f>
        <v>263.87</v>
      </c>
      <c r="J29" s="61"/>
      <c r="K29" s="61"/>
    </row>
    <row r="30" spans="2:11" ht="13" customHeight="1" x14ac:dyDescent="0.2">
      <c r="B30" s="58" t="str">
        <f>'Ex 10 Projections'!B18</f>
        <v>EBITDA</v>
      </c>
      <c r="D30" s="57">
        <f t="shared" ref="D30:I30" si="1">(D27-D28+D29)</f>
        <v>1712.6299999999999</v>
      </c>
      <c r="E30" s="57">
        <f t="shared" si="1"/>
        <v>1438.4299999999998</v>
      </c>
      <c r="F30" s="57">
        <f t="shared" si="1"/>
        <v>1480.6799999999998</v>
      </c>
      <c r="G30" s="57">
        <f t="shared" si="1"/>
        <v>1476.8300000000008</v>
      </c>
      <c r="H30" s="57">
        <f t="shared" si="1"/>
        <v>1712.61</v>
      </c>
      <c r="I30" s="57">
        <f t="shared" si="1"/>
        <v>1796.8700000000003</v>
      </c>
      <c r="J30" s="61"/>
      <c r="K30" s="61"/>
    </row>
    <row r="31" spans="2:11" ht="13" customHeight="1" x14ac:dyDescent="0.2">
      <c r="B31" s="58" t="s">
        <v>123</v>
      </c>
      <c r="C31" s="126">
        <v>0</v>
      </c>
      <c r="D31" s="57">
        <f t="shared" ref="D31:I31" si="2">D30*(1+$C$31)</f>
        <v>1712.6299999999999</v>
      </c>
      <c r="E31" s="57">
        <f t="shared" si="2"/>
        <v>1438.4299999999998</v>
      </c>
      <c r="F31" s="57">
        <f t="shared" si="2"/>
        <v>1480.6799999999998</v>
      </c>
      <c r="G31" s="57">
        <f t="shared" si="2"/>
        <v>1476.8300000000008</v>
      </c>
      <c r="H31" s="57">
        <f t="shared" si="2"/>
        <v>1712.61</v>
      </c>
      <c r="I31" s="57">
        <f t="shared" si="2"/>
        <v>1796.8700000000003</v>
      </c>
      <c r="J31" s="61"/>
      <c r="K31" s="61"/>
    </row>
    <row r="32" spans="2:11" ht="13" customHeight="1" x14ac:dyDescent="0.2">
      <c r="D32" s="57"/>
      <c r="E32" s="57"/>
      <c r="F32" s="57"/>
      <c r="G32" s="57"/>
      <c r="H32" s="57"/>
      <c r="I32" s="57"/>
      <c r="J32" s="61"/>
      <c r="K32" s="61"/>
    </row>
    <row r="33" spans="2:11" x14ac:dyDescent="0.2">
      <c r="B33" s="58" t="str">
        <f>'Ex 10 Projections'!B15</f>
        <v>Operating income (EBIT)</v>
      </c>
      <c r="D33" s="85">
        <f t="shared" ref="D33:I33" si="3">D31-D29</f>
        <v>1498.4299999999998</v>
      </c>
      <c r="E33" s="85">
        <f t="shared" si="3"/>
        <v>1213.5999999999999</v>
      </c>
      <c r="F33" s="85">
        <f t="shared" si="3"/>
        <v>1247.1999999999998</v>
      </c>
      <c r="G33" s="85">
        <f t="shared" si="3"/>
        <v>1226.0800000000008</v>
      </c>
      <c r="H33" s="85">
        <f t="shared" si="3"/>
        <v>1460.1</v>
      </c>
      <c r="I33" s="85">
        <f t="shared" si="3"/>
        <v>1533.0000000000005</v>
      </c>
      <c r="J33" s="61"/>
      <c r="K33" s="61"/>
    </row>
    <row r="34" spans="2:11" x14ac:dyDescent="0.2">
      <c r="B34" s="58" t="str">
        <f>'Ex 10 Projections'!B22</f>
        <v>CAPEX</v>
      </c>
      <c r="D34" s="104">
        <f>'Ex 10 Projections'!D22</f>
        <v>354.1</v>
      </c>
      <c r="E34" s="104">
        <f>'Ex 10 Projections'!E22</f>
        <v>249.4</v>
      </c>
      <c r="F34" s="104">
        <f>'Ex 10 Projections'!F22</f>
        <v>262.31</v>
      </c>
      <c r="G34" s="104">
        <f>'Ex 10 Projections'!G22</f>
        <v>263.81</v>
      </c>
      <c r="H34" s="104">
        <f>'Ex 10 Projections'!H22</f>
        <v>320.49</v>
      </c>
      <c r="I34" s="104">
        <f>'Ex 10 Projections'!I22</f>
        <v>345.07</v>
      </c>
      <c r="J34" s="61"/>
      <c r="K34" s="61"/>
    </row>
    <row r="35" spans="2:11" x14ac:dyDescent="0.2">
      <c r="B35" s="59" t="str">
        <f>'Ex 10 Projections'!B23</f>
        <v>Change in net working capital (NWC)</v>
      </c>
      <c r="C35" s="59"/>
      <c r="D35" s="105">
        <f>'Ex 10 Projections'!D23</f>
        <v>-152.6</v>
      </c>
      <c r="E35" s="105">
        <f>'Ex 10 Projections'!E23</f>
        <v>227.87</v>
      </c>
      <c r="F35" s="105">
        <f>'Ex 10 Projections'!F23</f>
        <v>6.07</v>
      </c>
      <c r="G35" s="105">
        <f>'Ex 10 Projections'!G23</f>
        <v>22.91</v>
      </c>
      <c r="H35" s="105">
        <f>'Ex 10 Projections'!H23</f>
        <v>23.63</v>
      </c>
      <c r="I35" s="105">
        <f>'Ex 10 Projections'!I23</f>
        <v>29.72</v>
      </c>
    </row>
    <row r="36" spans="2:11" x14ac:dyDescent="0.2">
      <c r="E36" s="64"/>
      <c r="F36" s="64"/>
      <c r="G36" s="64"/>
      <c r="H36" s="64"/>
      <c r="I36" s="64"/>
    </row>
    <row r="37" spans="2:11" ht="16" thickBot="1" x14ac:dyDescent="0.25">
      <c r="B37" s="58" t="s">
        <v>5</v>
      </c>
      <c r="E37" s="106">
        <f>E33*(1-$D$9)+E29-E34-E35</f>
        <v>682.03199999999993</v>
      </c>
      <c r="F37" s="106">
        <f>F33*(1-$D$9)+F29-F34-F35</f>
        <v>925.44399999999985</v>
      </c>
      <c r="G37" s="106">
        <f>G33*(1-$D$9)+G29-G34-G35</f>
        <v>908.11160000000075</v>
      </c>
      <c r="H37" s="106">
        <f>H33*(1-$D$9)+H29-H34-H35</f>
        <v>1032.6669999999999</v>
      </c>
      <c r="I37" s="106">
        <f>I33*(1-$D$9)+I29-I34-I35</f>
        <v>1069.4900000000002</v>
      </c>
    </row>
    <row r="38" spans="2:11" ht="16" thickTop="1" x14ac:dyDescent="0.2">
      <c r="B38" s="58" t="s">
        <v>137</v>
      </c>
      <c r="E38" s="131">
        <f>E14</f>
        <v>4315.29</v>
      </c>
      <c r="F38" s="131">
        <f>E38-E39</f>
        <v>4099.5254999999997</v>
      </c>
      <c r="G38" s="131">
        <f>F38-F39</f>
        <v>3883.7609999999995</v>
      </c>
      <c r="H38" s="131">
        <f>G38-G39</f>
        <v>3667.9964999999993</v>
      </c>
      <c r="I38" s="131">
        <f>H38-H39</f>
        <v>3452.2319999999991</v>
      </c>
    </row>
    <row r="39" spans="2:11" x14ac:dyDescent="0.2">
      <c r="B39" s="58" t="s">
        <v>133</v>
      </c>
      <c r="E39" s="131">
        <f>$J$17*$E$38</f>
        <v>215.7645</v>
      </c>
      <c r="F39" s="131">
        <f>$J$17*$E$38</f>
        <v>215.7645</v>
      </c>
      <c r="G39" s="131">
        <f>$J$17*$E$38</f>
        <v>215.7645</v>
      </c>
      <c r="H39" s="131">
        <f>$J$17*$E$38</f>
        <v>215.7645</v>
      </c>
      <c r="I39" s="131">
        <f>$J$17*$E$38</f>
        <v>215.7645</v>
      </c>
    </row>
    <row r="40" spans="2:11" x14ac:dyDescent="0.2">
      <c r="B40" s="58" t="s">
        <v>126</v>
      </c>
      <c r="E40" s="131">
        <f>$F$14*E38</f>
        <v>237.34094999999999</v>
      </c>
      <c r="F40" s="131">
        <f>$F$14*F38</f>
        <v>225.47390249999998</v>
      </c>
      <c r="G40" s="131">
        <f>$F$14*G38</f>
        <v>213.60685499999997</v>
      </c>
      <c r="H40" s="131">
        <f>$F$14*H38</f>
        <v>201.73980749999996</v>
      </c>
      <c r="I40" s="131">
        <f>$F$14*I38</f>
        <v>189.87275999999994</v>
      </c>
    </row>
    <row r="41" spans="2:11" x14ac:dyDescent="0.2">
      <c r="E41" s="131"/>
      <c r="F41" s="131"/>
      <c r="G41" s="131"/>
      <c r="H41" s="131"/>
      <c r="I41" s="131"/>
    </row>
    <row r="42" spans="2:11" x14ac:dyDescent="0.2">
      <c r="B42" s="58" t="s">
        <v>128</v>
      </c>
      <c r="E42" s="131">
        <f>E39+E40</f>
        <v>453.10545000000002</v>
      </c>
      <c r="F42" s="131">
        <f>F39+F40</f>
        <v>441.23840250000001</v>
      </c>
      <c r="G42" s="131">
        <f>G39+G40</f>
        <v>429.37135499999999</v>
      </c>
      <c r="H42" s="131">
        <f>H39+H40</f>
        <v>417.50430749999998</v>
      </c>
      <c r="I42" s="131">
        <f>I39+I40</f>
        <v>405.63725999999997</v>
      </c>
    </row>
    <row r="43" spans="2:11" x14ac:dyDescent="0.2">
      <c r="B43" s="58" t="s">
        <v>129</v>
      </c>
      <c r="E43" s="131">
        <f>E40*$D$9</f>
        <v>54.588418500000003</v>
      </c>
      <c r="F43" s="131">
        <f>F40*$D$9</f>
        <v>51.858997574999997</v>
      </c>
      <c r="G43" s="131">
        <f>G40*$D$9</f>
        <v>49.129576649999997</v>
      </c>
      <c r="H43" s="131">
        <f>H40*$D$9</f>
        <v>46.400155724999991</v>
      </c>
      <c r="I43" s="131">
        <f>I40*$D$9</f>
        <v>43.670734799999991</v>
      </c>
    </row>
    <row r="44" spans="2:11" x14ac:dyDescent="0.2">
      <c r="B44" s="59" t="s">
        <v>130</v>
      </c>
      <c r="C44" s="59"/>
      <c r="D44" s="59"/>
      <c r="E44" s="137">
        <f>E37-E42+E43</f>
        <v>283.5149684999999</v>
      </c>
      <c r="F44" s="137">
        <f>F37-F42+F43</f>
        <v>536.06459507499983</v>
      </c>
      <c r="G44" s="137">
        <f>G37-G42+G43</f>
        <v>527.86982165000074</v>
      </c>
      <c r="H44" s="137">
        <f>H37-H42+H43</f>
        <v>661.56284822499993</v>
      </c>
      <c r="I44" s="137">
        <f>I37-I42+I43</f>
        <v>707.52347480000026</v>
      </c>
    </row>
    <row r="45" spans="2:11" x14ac:dyDescent="0.2">
      <c r="B45" s="63" t="s">
        <v>131</v>
      </c>
      <c r="C45" s="63"/>
      <c r="D45" s="63"/>
      <c r="E45" s="136">
        <f>(E42+E44)/E42</f>
        <v>1.6257152027193666</v>
      </c>
      <c r="F45" s="134">
        <f>(F42+F44)/F42</f>
        <v>2.2149092010979254</v>
      </c>
      <c r="G45" s="134">
        <f>(G42+G44)/G42</f>
        <v>2.2294015786171872</v>
      </c>
      <c r="H45" s="134">
        <f>(H42+H44)/H42</f>
        <v>2.5845653238559696</v>
      </c>
      <c r="I45" s="134">
        <f>(I42+I44)/I42</f>
        <v>2.7442270337788996</v>
      </c>
    </row>
    <row r="46" spans="2:11" x14ac:dyDescent="0.2">
      <c r="E46" s="133"/>
      <c r="F46" s="131"/>
      <c r="G46" s="131"/>
      <c r="H46" s="131"/>
      <c r="I46" s="131"/>
    </row>
    <row r="47" spans="2:11" x14ac:dyDescent="0.2">
      <c r="B47" s="58" t="s">
        <v>4</v>
      </c>
      <c r="E47" s="133"/>
      <c r="F47" s="131"/>
      <c r="G47" s="131"/>
      <c r="H47" s="131"/>
      <c r="I47" s="131"/>
    </row>
    <row r="48" spans="2:11" x14ac:dyDescent="0.2">
      <c r="B48" s="58" t="s">
        <v>5</v>
      </c>
      <c r="E48" s="133">
        <f>E44</f>
        <v>283.5149684999999</v>
      </c>
      <c r="F48" s="133">
        <f>F44</f>
        <v>536.06459507499983</v>
      </c>
      <c r="G48" s="133">
        <f>G44</f>
        <v>527.86982165000074</v>
      </c>
      <c r="H48" s="133">
        <f>H44</f>
        <v>661.56284822499993</v>
      </c>
      <c r="I48" s="133">
        <f>I44</f>
        <v>707.52347480000026</v>
      </c>
    </row>
    <row r="49" spans="2:9" x14ac:dyDescent="0.2">
      <c r="B49" s="58" t="s">
        <v>132</v>
      </c>
      <c r="E49" s="133"/>
      <c r="F49" s="131"/>
      <c r="G49" s="131"/>
      <c r="H49" s="131"/>
      <c r="I49" s="131"/>
    </row>
    <row r="50" spans="2:9" x14ac:dyDescent="0.2">
      <c r="B50" s="58" t="s">
        <v>126</v>
      </c>
      <c r="E50" s="133">
        <f>$F$15*$E$15</f>
        <v>107.88225</v>
      </c>
      <c r="F50" s="133">
        <f>$F$15*$E$15</f>
        <v>107.88225</v>
      </c>
      <c r="G50" s="133">
        <f>$F$15*$E$15</f>
        <v>107.88225</v>
      </c>
      <c r="H50" s="133">
        <f>$F$15*$E$15</f>
        <v>107.88225</v>
      </c>
      <c r="I50" s="133">
        <f>$F$15*$E$15</f>
        <v>107.88225</v>
      </c>
    </row>
    <row r="51" spans="2:9" x14ac:dyDescent="0.2">
      <c r="E51" s="131"/>
      <c r="F51" s="131"/>
      <c r="G51" s="131"/>
      <c r="H51" s="131"/>
      <c r="I51" s="131"/>
    </row>
    <row r="52" spans="2:9" x14ac:dyDescent="0.2">
      <c r="B52" s="58" t="s">
        <v>128</v>
      </c>
      <c r="E52" s="131">
        <f>E50</f>
        <v>107.88225</v>
      </c>
      <c r="F52" s="131">
        <f>F50</f>
        <v>107.88225</v>
      </c>
      <c r="G52" s="131">
        <f>G50</f>
        <v>107.88225</v>
      </c>
      <c r="H52" s="131">
        <f>H50</f>
        <v>107.88225</v>
      </c>
      <c r="I52" s="131">
        <f>I50</f>
        <v>107.88225</v>
      </c>
    </row>
    <row r="53" spans="2:9" x14ac:dyDescent="0.2">
      <c r="B53" s="58" t="s">
        <v>125</v>
      </c>
      <c r="E53" s="131">
        <f>E50*$D$9</f>
        <v>24.812917500000001</v>
      </c>
      <c r="F53" s="131">
        <f>F50*$D$9</f>
        <v>24.812917500000001</v>
      </c>
      <c r="G53" s="131">
        <f>G50*$D$9</f>
        <v>24.812917500000001</v>
      </c>
      <c r="H53" s="131">
        <f>H50*$D$9</f>
        <v>24.812917500000001</v>
      </c>
      <c r="I53" s="131">
        <f>I50*$D$9</f>
        <v>24.812917500000001</v>
      </c>
    </row>
    <row r="54" spans="2:9" x14ac:dyDescent="0.2">
      <c r="B54" s="59" t="s">
        <v>134</v>
      </c>
      <c r="C54" s="59"/>
      <c r="D54" s="59"/>
      <c r="E54" s="137">
        <f>E48-E52+E53</f>
        <v>200.44563599999989</v>
      </c>
      <c r="F54" s="137">
        <f>F48-F52+F53</f>
        <v>452.99526257499986</v>
      </c>
      <c r="G54" s="137">
        <f>G48-G52+G53</f>
        <v>444.80048915000077</v>
      </c>
      <c r="H54" s="137">
        <f>H48-H52+H53</f>
        <v>578.49351572499995</v>
      </c>
      <c r="I54" s="137">
        <f>I48-I52+I53</f>
        <v>624.45414230000029</v>
      </c>
    </row>
    <row r="55" spans="2:9" x14ac:dyDescent="0.2">
      <c r="B55" s="135" t="s">
        <v>131</v>
      </c>
      <c r="C55" s="135"/>
      <c r="D55" s="135"/>
      <c r="E55" s="138">
        <f>(E52+E54)/E52</f>
        <v>2.8580038514213406</v>
      </c>
      <c r="F55" s="138">
        <f>(F52+F54)/F52</f>
        <v>5.1989786324905154</v>
      </c>
      <c r="G55" s="138">
        <f>(G52+G54)/G52</f>
        <v>5.1230182828964059</v>
      </c>
      <c r="H55" s="138">
        <f>(H52+H54)/H52</f>
        <v>6.3622678033226032</v>
      </c>
      <c r="I55" s="138">
        <f>(I52+I54)/I52</f>
        <v>6.788293647008663</v>
      </c>
    </row>
    <row r="56" spans="2:9" x14ac:dyDescent="0.2">
      <c r="B56" s="63"/>
      <c r="C56" s="63"/>
      <c r="D56" s="63"/>
      <c r="E56" s="131"/>
      <c r="F56" s="131"/>
      <c r="G56" s="131"/>
      <c r="H56" s="131"/>
      <c r="I56" s="131"/>
    </row>
    <row r="57" spans="2:9" x14ac:dyDescent="0.2">
      <c r="B57" s="63" t="s">
        <v>75</v>
      </c>
      <c r="C57" s="63"/>
      <c r="D57" s="63"/>
      <c r="E57" s="131">
        <f>E54</f>
        <v>200.44563599999989</v>
      </c>
      <c r="F57" s="131">
        <f>F54</f>
        <v>452.99526257499986</v>
      </c>
      <c r="G57" s="131">
        <f>G54</f>
        <v>444.80048915000077</v>
      </c>
      <c r="H57" s="131">
        <f>H54</f>
        <v>578.49351572499995</v>
      </c>
      <c r="I57" s="131">
        <f>I54</f>
        <v>624.45414230000029</v>
      </c>
    </row>
    <row r="58" spans="2:9" x14ac:dyDescent="0.2">
      <c r="B58" s="63" t="s">
        <v>126</v>
      </c>
      <c r="C58" s="63"/>
      <c r="D58" s="63"/>
      <c r="E58" s="131">
        <f>$F$16*$E$16</f>
        <v>316.45460000000003</v>
      </c>
      <c r="F58" s="131">
        <f>$F$16*$E$16</f>
        <v>316.45460000000003</v>
      </c>
      <c r="G58" s="131">
        <f>$F$16*$E$16</f>
        <v>316.45460000000003</v>
      </c>
      <c r="H58" s="131">
        <f>$F$16*$E$16</f>
        <v>316.45460000000003</v>
      </c>
      <c r="I58" s="131">
        <f>$F$16*$E$16</f>
        <v>316.45460000000003</v>
      </c>
    </row>
    <row r="59" spans="2:9" x14ac:dyDescent="0.2">
      <c r="B59" s="63" t="s">
        <v>128</v>
      </c>
      <c r="C59" s="63"/>
      <c r="D59" s="63"/>
      <c r="E59" s="131">
        <f>E58</f>
        <v>316.45460000000003</v>
      </c>
      <c r="F59" s="131">
        <f>F58</f>
        <v>316.45460000000003</v>
      </c>
      <c r="G59" s="131">
        <f>G58</f>
        <v>316.45460000000003</v>
      </c>
      <c r="H59" s="131">
        <f>H58</f>
        <v>316.45460000000003</v>
      </c>
      <c r="I59" s="131">
        <f>I58</f>
        <v>316.45460000000003</v>
      </c>
    </row>
    <row r="60" spans="2:9" x14ac:dyDescent="0.2">
      <c r="B60" s="63" t="s">
        <v>125</v>
      </c>
      <c r="C60" s="63"/>
      <c r="D60" s="63"/>
      <c r="E60" s="131">
        <f>E59*$D$9</f>
        <v>72.784558000000004</v>
      </c>
      <c r="F60" s="131">
        <f>F59*$D$9</f>
        <v>72.784558000000004</v>
      </c>
      <c r="G60" s="131">
        <f>G59*$D$9</f>
        <v>72.784558000000004</v>
      </c>
      <c r="H60" s="131">
        <f>H59*$D$9</f>
        <v>72.784558000000004</v>
      </c>
      <c r="I60" s="131">
        <f>I59*$D$9</f>
        <v>72.784558000000004</v>
      </c>
    </row>
    <row r="61" spans="2:9" x14ac:dyDescent="0.2">
      <c r="B61" s="62" t="s">
        <v>134</v>
      </c>
      <c r="C61" s="62"/>
      <c r="D61" s="62"/>
      <c r="E61" s="137">
        <f>E57-E59+E60</f>
        <v>-43.22440600000013</v>
      </c>
      <c r="F61" s="137">
        <f>F57-F59+F60</f>
        <v>209.32522057499983</v>
      </c>
      <c r="G61" s="137">
        <f>G57-G59+G60</f>
        <v>201.13044715000075</v>
      </c>
      <c r="H61" s="137">
        <f>H57-H59+H60</f>
        <v>334.82347372499993</v>
      </c>
      <c r="I61" s="137">
        <f>I57-I59+I60</f>
        <v>380.78410030000026</v>
      </c>
    </row>
    <row r="62" spans="2:9" x14ac:dyDescent="0.2">
      <c r="B62" s="63" t="s">
        <v>131</v>
      </c>
      <c r="C62" s="63"/>
      <c r="D62" s="63"/>
      <c r="E62" s="133">
        <f>(E61+E59)/E59</f>
        <v>0.86341040389363855</v>
      </c>
      <c r="F62" s="133">
        <f>(F61+F59)/F59</f>
        <v>1.6614699883490389</v>
      </c>
      <c r="G62" s="133">
        <f>(G61+G59)/G59</f>
        <v>1.6355744146237743</v>
      </c>
      <c r="H62" s="133">
        <f>(H61+H59)/H59</f>
        <v>2.0580458420417966</v>
      </c>
      <c r="I62" s="133">
        <f>(I61+I59)/I59</f>
        <v>2.2032819251165896</v>
      </c>
    </row>
    <row r="63" spans="2:9" x14ac:dyDescent="0.2">
      <c r="B63" s="63"/>
      <c r="C63" s="63"/>
      <c r="D63" s="63"/>
      <c r="E63" s="63"/>
      <c r="F63" s="63"/>
      <c r="G63" s="63"/>
      <c r="H63" s="63"/>
      <c r="I63" s="63"/>
    </row>
    <row r="64" spans="2:9" ht="9" customHeight="1" x14ac:dyDescent="0.2">
      <c r="E64" s="64"/>
      <c r="F64" s="64"/>
      <c r="G64" s="64"/>
      <c r="H64" s="64"/>
      <c r="I64" s="64"/>
    </row>
    <row r="65" spans="2:9" ht="9" customHeight="1" x14ac:dyDescent="0.2">
      <c r="E65" s="64"/>
      <c r="F65" s="64"/>
      <c r="G65" s="64"/>
      <c r="H65" s="64"/>
      <c r="I65" s="64"/>
    </row>
    <row r="66" spans="2:9" x14ac:dyDescent="0.2">
      <c r="B66" s="63" t="s">
        <v>80</v>
      </c>
      <c r="E66" s="64"/>
      <c r="F66" s="64"/>
      <c r="G66" s="64"/>
      <c r="H66" s="64"/>
      <c r="I66" s="64"/>
    </row>
    <row r="67" spans="2:9" x14ac:dyDescent="0.2">
      <c r="B67" s="87" t="s">
        <v>3</v>
      </c>
      <c r="E67" s="64"/>
      <c r="F67" s="64"/>
      <c r="G67" s="64"/>
      <c r="H67" s="64"/>
      <c r="I67" s="64"/>
    </row>
    <row r="68" spans="2:9" x14ac:dyDescent="0.2">
      <c r="B68" s="58" t="s">
        <v>81</v>
      </c>
      <c r="E68" s="64">
        <f>E14</f>
        <v>4315.29</v>
      </c>
      <c r="F68" s="64">
        <f>E73</f>
        <v>4099.5254999999997</v>
      </c>
      <c r="G68" s="64">
        <f>F73</f>
        <v>3665.810953145</v>
      </c>
      <c r="H68" s="64">
        <f>G73</f>
        <v>3235.7618995450903</v>
      </c>
      <c r="I68" s="64">
        <f>H73</f>
        <v>2667.739790925913</v>
      </c>
    </row>
    <row r="69" spans="2:9" x14ac:dyDescent="0.2">
      <c r="B69" s="58" t="s">
        <v>6</v>
      </c>
      <c r="E69" s="100">
        <f>E68*$F$14</f>
        <v>237.34094999999999</v>
      </c>
      <c r="F69" s="100">
        <f>F68*$F$14</f>
        <v>225.47390249999998</v>
      </c>
      <c r="G69" s="100">
        <f>G68*$F$14</f>
        <v>201.61960242297499</v>
      </c>
      <c r="H69" s="100">
        <f>H68*$F$14</f>
        <v>177.96690447497997</v>
      </c>
      <c r="I69" s="100">
        <f>I68*$F$14</f>
        <v>146.7256885009252</v>
      </c>
    </row>
    <row r="70" spans="2:9" x14ac:dyDescent="0.2">
      <c r="B70" s="58" t="s">
        <v>7</v>
      </c>
      <c r="E70" s="100">
        <f>IF(E68&gt;E91, E91, E68)</f>
        <v>185.77364999999989</v>
      </c>
      <c r="F70" s="100">
        <f>IF(F68&gt;F91, F91, F68)</f>
        <v>433.71454685499987</v>
      </c>
      <c r="G70" s="100">
        <f>IF(G68&gt;G91, G91, G68)</f>
        <v>430.04905359990994</v>
      </c>
      <c r="H70" s="100">
        <f>IF(H68&gt;H91, H91, H68)</f>
        <v>568.02210861917729</v>
      </c>
      <c r="I70" s="100">
        <f>IF(I68&gt;I91, I91, I68)</f>
        <v>624.01002407049805</v>
      </c>
    </row>
    <row r="71" spans="2:9" x14ac:dyDescent="0.2">
      <c r="B71" s="58" t="s">
        <v>140</v>
      </c>
      <c r="E71" s="100">
        <f>$J$17*$E$14</f>
        <v>215.7645</v>
      </c>
      <c r="F71" s="100">
        <f>$J$17*$E$14</f>
        <v>215.7645</v>
      </c>
      <c r="G71" s="100">
        <f>$J$17*$E$14</f>
        <v>215.7645</v>
      </c>
      <c r="H71" s="100">
        <f>$J$17*$E$14</f>
        <v>215.7645</v>
      </c>
      <c r="I71" s="100">
        <f>$J$17*$E$14</f>
        <v>215.7645</v>
      </c>
    </row>
    <row r="72" spans="2:9" x14ac:dyDescent="0.2">
      <c r="B72" s="58" t="s">
        <v>139</v>
      </c>
      <c r="E72" s="100">
        <f>IF(E70&gt;288, E70-288, 0)</f>
        <v>0</v>
      </c>
      <c r="F72" s="100">
        <f>IF(F70&gt;288, F70-288, 0)</f>
        <v>145.71454685499987</v>
      </c>
      <c r="G72" s="100">
        <f>IF(G70&gt;288, G70-288, 0)</f>
        <v>142.04905359990994</v>
      </c>
      <c r="H72" s="100">
        <f>IF(H70&gt;288, H70-288, 0)</f>
        <v>280.02210861917729</v>
      </c>
      <c r="I72" s="100">
        <f>IF(I70&gt;288, I70-288, 0)</f>
        <v>336.01002407049805</v>
      </c>
    </row>
    <row r="73" spans="2:9" x14ac:dyDescent="0.2">
      <c r="B73" s="58" t="s">
        <v>82</v>
      </c>
      <c r="E73" s="64">
        <f>E68-(E71+E72)</f>
        <v>4099.5254999999997</v>
      </c>
      <c r="F73" s="64">
        <f>F68-F70</f>
        <v>3665.810953145</v>
      </c>
      <c r="G73" s="64">
        <f>G68-G70</f>
        <v>3235.7618995450903</v>
      </c>
      <c r="H73" s="64">
        <f>H68-H70</f>
        <v>2667.739790925913</v>
      </c>
      <c r="I73" s="64">
        <f>I68-I70</f>
        <v>2043.7297668554149</v>
      </c>
    </row>
    <row r="74" spans="2:9" x14ac:dyDescent="0.2">
      <c r="E74" s="86"/>
      <c r="F74" s="86"/>
      <c r="G74" s="86"/>
      <c r="H74" s="86"/>
      <c r="I74" s="86"/>
    </row>
    <row r="75" spans="2:9" x14ac:dyDescent="0.2">
      <c r="B75" s="87" t="s">
        <v>4</v>
      </c>
      <c r="E75" s="64"/>
      <c r="F75" s="64"/>
      <c r="G75" s="64"/>
      <c r="H75" s="64"/>
      <c r="I75" s="64"/>
    </row>
    <row r="76" spans="2:9" x14ac:dyDescent="0.2">
      <c r="B76" s="58" t="s">
        <v>83</v>
      </c>
      <c r="E76" s="64">
        <f>E15</f>
        <v>1438.43</v>
      </c>
      <c r="F76" s="64">
        <f>E79</f>
        <v>1438.43</v>
      </c>
      <c r="G76" s="64">
        <f>F79</f>
        <v>1438.43</v>
      </c>
      <c r="H76" s="64">
        <f>G79</f>
        <v>1438.43</v>
      </c>
      <c r="I76" s="64">
        <f>H79</f>
        <v>1438.43</v>
      </c>
    </row>
    <row r="77" spans="2:9" x14ac:dyDescent="0.2">
      <c r="B77" s="58" t="s">
        <v>6</v>
      </c>
      <c r="E77" s="100">
        <f>E76*$F$15</f>
        <v>107.88225</v>
      </c>
      <c r="F77" s="100">
        <f>F76*$F$15</f>
        <v>107.88225</v>
      </c>
      <c r="G77" s="100">
        <f>G76*$F$15</f>
        <v>107.88225</v>
      </c>
      <c r="H77" s="100">
        <f>H76*$F$15</f>
        <v>107.88225</v>
      </c>
      <c r="I77" s="100">
        <f>I76*$F$15</f>
        <v>107.88225</v>
      </c>
    </row>
    <row r="78" spans="2:9" x14ac:dyDescent="0.2">
      <c r="B78" s="58" t="s">
        <v>7</v>
      </c>
      <c r="E78" s="100">
        <f>E70-E91</f>
        <v>0</v>
      </c>
      <c r="F78" s="100">
        <f>F70-F91</f>
        <v>0</v>
      </c>
      <c r="G78" s="100">
        <f>G70-G91</f>
        <v>0</v>
      </c>
      <c r="H78" s="100">
        <f>H70-H91</f>
        <v>0</v>
      </c>
      <c r="I78" s="100">
        <f>I70-I91</f>
        <v>0</v>
      </c>
    </row>
    <row r="79" spans="2:9" x14ac:dyDescent="0.2">
      <c r="B79" s="58" t="s">
        <v>8</v>
      </c>
      <c r="E79" s="64">
        <f>E76-E78</f>
        <v>1438.43</v>
      </c>
      <c r="F79" s="64">
        <f>F76-F78</f>
        <v>1438.43</v>
      </c>
      <c r="G79" s="64">
        <f>G76-G78</f>
        <v>1438.43</v>
      </c>
      <c r="H79" s="64">
        <f>H76-H78</f>
        <v>1438.43</v>
      </c>
      <c r="I79" s="64">
        <f>I76-I78</f>
        <v>1438.43</v>
      </c>
    </row>
    <row r="81" spans="2:9" x14ac:dyDescent="0.2">
      <c r="B81" s="58" t="s">
        <v>103</v>
      </c>
      <c r="E81" s="105">
        <f>E37-E69-E77</f>
        <v>336.80879999999991</v>
      </c>
      <c r="F81" s="105">
        <f>F37-F69-F77</f>
        <v>592.08784749999984</v>
      </c>
      <c r="G81" s="105">
        <f>G37-G69-G77</f>
        <v>598.60974757702581</v>
      </c>
      <c r="H81" s="105">
        <f>H37-H69-H77</f>
        <v>746.81784552501995</v>
      </c>
      <c r="I81" s="105">
        <f>I37-I69-I77</f>
        <v>814.88206149907501</v>
      </c>
    </row>
    <row r="82" spans="2:9" x14ac:dyDescent="0.2">
      <c r="B82"/>
      <c r="E82" s="64"/>
      <c r="F82" s="64"/>
      <c r="G82" s="64"/>
      <c r="H82" s="64"/>
      <c r="I82" s="64"/>
    </row>
    <row r="83" spans="2:9" x14ac:dyDescent="0.2">
      <c r="B83" s="87" t="s">
        <v>75</v>
      </c>
      <c r="E83" s="64"/>
      <c r="F83" s="64"/>
      <c r="G83" s="64"/>
      <c r="H83" s="64"/>
      <c r="I83" s="64"/>
    </row>
    <row r="84" spans="2:9" x14ac:dyDescent="0.2">
      <c r="B84" s="58" t="s">
        <v>83</v>
      </c>
      <c r="E84" s="64">
        <f>E16</f>
        <v>2876.86</v>
      </c>
      <c r="F84" s="64">
        <f>E87</f>
        <v>2934.3972000000003</v>
      </c>
      <c r="G84" s="64">
        <f>F87</f>
        <v>2993.0851440000001</v>
      </c>
      <c r="H84" s="64">
        <f>G87</f>
        <v>3052.9468468800001</v>
      </c>
      <c r="I84" s="64">
        <f>H87</f>
        <v>3114.0057838175999</v>
      </c>
    </row>
    <row r="85" spans="2:9" x14ac:dyDescent="0.2">
      <c r="B85" s="58" t="s">
        <v>6</v>
      </c>
      <c r="E85" s="100">
        <f>E84*$F$16</f>
        <v>316.45460000000003</v>
      </c>
      <c r="F85" s="100">
        <f>F84*$F$16</f>
        <v>322.78369200000003</v>
      </c>
      <c r="G85" s="100">
        <f>G84*$F$16</f>
        <v>329.23936584</v>
      </c>
      <c r="H85" s="100">
        <f>H84*$F$16</f>
        <v>335.82415315680004</v>
      </c>
      <c r="I85" s="100">
        <f>I84*$F$16</f>
        <v>342.540636219936</v>
      </c>
    </row>
    <row r="86" spans="2:9" x14ac:dyDescent="0.2">
      <c r="B86" s="58" t="s">
        <v>33</v>
      </c>
      <c r="E86" s="100">
        <f>E84*$G$16</f>
        <v>57.537200000000006</v>
      </c>
      <c r="F86" s="100">
        <f>F84*$G$16</f>
        <v>58.687944000000009</v>
      </c>
      <c r="G86" s="100">
        <f>G84*$G$16</f>
        <v>59.861702880000003</v>
      </c>
      <c r="H86" s="100">
        <f>H84*$G$16</f>
        <v>61.058936937600002</v>
      </c>
      <c r="I86" s="100">
        <f>I84*$G$16</f>
        <v>62.280115676351997</v>
      </c>
    </row>
    <row r="87" spans="2:9" x14ac:dyDescent="0.2">
      <c r="B87" s="58" t="s">
        <v>8</v>
      </c>
      <c r="E87" s="64">
        <f>E84+E86</f>
        <v>2934.3972000000003</v>
      </c>
      <c r="F87" s="64">
        <f>F84+F86</f>
        <v>2993.0851440000001</v>
      </c>
      <c r="G87" s="64">
        <f>G84+G86</f>
        <v>3052.9468468800001</v>
      </c>
      <c r="H87" s="64">
        <f>H84+H86</f>
        <v>3114.0057838175999</v>
      </c>
      <c r="I87" s="64">
        <f>I84+I86</f>
        <v>3176.285899493952</v>
      </c>
    </row>
    <row r="88" spans="2:9" x14ac:dyDescent="0.2">
      <c r="E88" s="107"/>
      <c r="F88" s="107"/>
      <c r="G88" s="107"/>
      <c r="H88" s="107"/>
      <c r="I88" s="107"/>
    </row>
    <row r="89" spans="2:9" x14ac:dyDescent="0.2">
      <c r="B89" s="58" t="s">
        <v>84</v>
      </c>
      <c r="E89" s="100">
        <f>E69+E77+E85</f>
        <v>661.67780000000005</v>
      </c>
      <c r="F89" s="100">
        <f>F69+F77+F85</f>
        <v>656.13984449999998</v>
      </c>
      <c r="G89" s="100">
        <f>G69+G77+G85</f>
        <v>638.74121826297505</v>
      </c>
      <c r="H89" s="100">
        <f>H69+H77+H85</f>
        <v>621.67330763178006</v>
      </c>
      <c r="I89" s="100">
        <f>I69+I77+I85</f>
        <v>597.14857472086123</v>
      </c>
    </row>
    <row r="90" spans="2:9" x14ac:dyDescent="0.2">
      <c r="B90" s="58" t="s">
        <v>85</v>
      </c>
      <c r="E90" s="100">
        <f>(E89+E86)*$D$9</f>
        <v>165.41945000000001</v>
      </c>
      <c r="F90" s="100">
        <f>(F89+F86)*$D$9</f>
        <v>164.410391355</v>
      </c>
      <c r="G90" s="100">
        <f>(G89+G86)*$D$9</f>
        <v>160.67867186288427</v>
      </c>
      <c r="H90" s="100">
        <f>(H89+H86)*$D$9</f>
        <v>157.02841625095743</v>
      </c>
      <c r="I90" s="100">
        <f>(I89+I86)*$D$9</f>
        <v>151.66859879135905</v>
      </c>
    </row>
    <row r="91" spans="2:9" x14ac:dyDescent="0.2">
      <c r="B91" s="58" t="s">
        <v>86</v>
      </c>
      <c r="E91" s="100">
        <f>E37-E89+E90</f>
        <v>185.77364999999989</v>
      </c>
      <c r="F91" s="100">
        <f>F37-F89+F90</f>
        <v>433.71454685499987</v>
      </c>
      <c r="G91" s="100">
        <f>G37-G89+G90</f>
        <v>430.04905359990994</v>
      </c>
      <c r="H91" s="100">
        <f>H37-H89+H90</f>
        <v>568.02210861917729</v>
      </c>
      <c r="I91" s="100">
        <f>I37-I89+I90</f>
        <v>624.01002407049805</v>
      </c>
    </row>
    <row r="92" spans="2:9" x14ac:dyDescent="0.2">
      <c r="B92" s="58" t="s">
        <v>87</v>
      </c>
      <c r="E92" s="100">
        <f>E73+E79+E87</f>
        <v>8472.3526999999995</v>
      </c>
      <c r="F92" s="100">
        <f>F73+F79+F87</f>
        <v>8097.3260971449999</v>
      </c>
      <c r="G92" s="100">
        <f>G73+G79+G87</f>
        <v>7727.1387464250911</v>
      </c>
      <c r="H92" s="100">
        <f>H73+H79+H87</f>
        <v>7220.1755747435127</v>
      </c>
      <c r="I92" s="100">
        <f>I73+I79+I87</f>
        <v>6658.4456663493675</v>
      </c>
    </row>
    <row r="93" spans="2:9" x14ac:dyDescent="0.2">
      <c r="E93" s="64"/>
      <c r="F93" s="64"/>
      <c r="G93" s="64"/>
      <c r="H93" s="64"/>
      <c r="I93" s="64"/>
    </row>
    <row r="94" spans="2:9" x14ac:dyDescent="0.2">
      <c r="B94" s="58" t="s">
        <v>100</v>
      </c>
      <c r="E94" s="100">
        <f>D10</f>
        <v>0</v>
      </c>
      <c r="F94" s="100">
        <f>E96</f>
        <v>0</v>
      </c>
      <c r="G94" s="100">
        <f>F96</f>
        <v>0</v>
      </c>
      <c r="H94" s="100">
        <f>G96</f>
        <v>0</v>
      </c>
      <c r="I94" s="100">
        <f>H96</f>
        <v>0</v>
      </c>
    </row>
    <row r="95" spans="2:9" x14ac:dyDescent="0.2">
      <c r="B95" s="58" t="s">
        <v>101</v>
      </c>
      <c r="E95" s="100">
        <f>E37-E89-E70+E90</f>
        <v>0</v>
      </c>
      <c r="F95" s="100">
        <f>F37-F89-F70+F90</f>
        <v>0</v>
      </c>
      <c r="G95" s="100">
        <f>G37-G89-G70+G90</f>
        <v>0</v>
      </c>
      <c r="H95" s="100">
        <f>H37-H89-H70+H90</f>
        <v>0</v>
      </c>
      <c r="I95" s="100">
        <f>I37-I89-I70+I90</f>
        <v>0</v>
      </c>
    </row>
    <row r="96" spans="2:9" ht="16" thickBot="1" x14ac:dyDescent="0.25">
      <c r="B96" s="65" t="s">
        <v>102</v>
      </c>
      <c r="C96" s="65"/>
      <c r="D96" s="65"/>
      <c r="E96" s="119">
        <f>E94+E95</f>
        <v>0</v>
      </c>
      <c r="F96" s="119">
        <f>F94+F95</f>
        <v>0</v>
      </c>
      <c r="G96" s="119">
        <f>G94+G95</f>
        <v>0</v>
      </c>
      <c r="H96" s="119">
        <f>H94+H95</f>
        <v>0</v>
      </c>
      <c r="I96" s="119">
        <f>I94+I95</f>
        <v>0</v>
      </c>
    </row>
    <row r="97" spans="1:9" ht="16" thickTop="1" x14ac:dyDescent="0.2">
      <c r="E97" s="64"/>
      <c r="F97" s="64"/>
      <c r="G97" s="64"/>
      <c r="H97" s="64"/>
      <c r="I97" s="64"/>
    </row>
    <row r="98" spans="1:9" x14ac:dyDescent="0.2">
      <c r="B98" s="145" t="s">
        <v>99</v>
      </c>
      <c r="C98" s="145"/>
      <c r="D98" s="145"/>
      <c r="E98" s="145"/>
      <c r="F98" s="145"/>
      <c r="G98" s="145"/>
      <c r="H98" s="145"/>
      <c r="I98" s="145"/>
    </row>
    <row r="99" spans="1:9" x14ac:dyDescent="0.2">
      <c r="B99" s="146" t="s">
        <v>36</v>
      </c>
      <c r="C99" s="146"/>
      <c r="D99" s="146"/>
      <c r="E99" s="146"/>
      <c r="F99" s="146"/>
      <c r="G99" s="146"/>
      <c r="H99" s="146"/>
      <c r="I99" s="146"/>
    </row>
    <row r="100" spans="1:9" ht="16" x14ac:dyDescent="0.2">
      <c r="A100" s="108"/>
      <c r="B100"/>
      <c r="C100"/>
      <c r="D100"/>
      <c r="E100" s="109" t="s">
        <v>96</v>
      </c>
      <c r="F100" s="109"/>
      <c r="G100" s="109"/>
      <c r="H100" s="109"/>
      <c r="I100"/>
    </row>
    <row r="101" spans="1:9" x14ac:dyDescent="0.2">
      <c r="A101"/>
      <c r="B101"/>
      <c r="C101"/>
      <c r="D101" s="113"/>
      <c r="E101" s="114">
        <v>1</v>
      </c>
      <c r="F101" s="114">
        <v>2</v>
      </c>
      <c r="G101" s="114">
        <v>3</v>
      </c>
      <c r="H101" s="114">
        <v>4</v>
      </c>
      <c r="I101" s="114">
        <v>5</v>
      </c>
    </row>
    <row r="102" spans="1:9" x14ac:dyDescent="0.2">
      <c r="A102"/>
      <c r="B102" s="58" t="s">
        <v>97</v>
      </c>
      <c r="D102" s="115">
        <f>I7</f>
        <v>8</v>
      </c>
      <c r="E102" s="116">
        <f>E30*$D$102</f>
        <v>11507.439999999999</v>
      </c>
      <c r="F102" s="116">
        <f>F30*$D$102</f>
        <v>11845.439999999999</v>
      </c>
      <c r="G102" s="116">
        <f>G30*$D$102</f>
        <v>11814.640000000007</v>
      </c>
      <c r="H102" s="116">
        <f>H30*$D$102</f>
        <v>13700.88</v>
      </c>
      <c r="I102" s="116">
        <f>I30*$D$102</f>
        <v>14374.960000000003</v>
      </c>
    </row>
    <row r="103" spans="1:9" x14ac:dyDescent="0.2">
      <c r="A103"/>
      <c r="C103"/>
      <c r="D103" s="113"/>
      <c r="E103" s="113"/>
      <c r="F103" s="113"/>
      <c r="G103" s="113"/>
      <c r="H103" s="113"/>
      <c r="I103" s="113"/>
    </row>
    <row r="104" spans="1:9" x14ac:dyDescent="0.2">
      <c r="A104"/>
      <c r="B104" s="58" t="s">
        <v>45</v>
      </c>
      <c r="C104"/>
      <c r="D104" s="113"/>
      <c r="E104" s="117">
        <f>E92</f>
        <v>8472.3526999999995</v>
      </c>
      <c r="F104" s="117">
        <f>F92</f>
        <v>8097.3260971449999</v>
      </c>
      <c r="G104" s="117">
        <f>G92</f>
        <v>7727.1387464250911</v>
      </c>
      <c r="H104" s="117">
        <f>H92</f>
        <v>7220.1755747435127</v>
      </c>
      <c r="I104" s="117">
        <f>I92</f>
        <v>6658.4456663493675</v>
      </c>
    </row>
    <row r="105" spans="1:9" x14ac:dyDescent="0.2">
      <c r="A105"/>
      <c r="B105" s="58" t="s">
        <v>9</v>
      </c>
      <c r="C105"/>
      <c r="D105" s="113"/>
      <c r="E105" s="117">
        <f>E96</f>
        <v>0</v>
      </c>
      <c r="F105" s="117">
        <f>F96</f>
        <v>0</v>
      </c>
      <c r="G105" s="117">
        <f>G96</f>
        <v>0</v>
      </c>
      <c r="H105" s="117">
        <f>H96</f>
        <v>0</v>
      </c>
      <c r="I105" s="117">
        <f>I96</f>
        <v>0</v>
      </c>
    </row>
    <row r="106" spans="1:9" x14ac:dyDescent="0.2">
      <c r="A106"/>
      <c r="B106" s="58" t="s">
        <v>98</v>
      </c>
      <c r="C106"/>
      <c r="D106" s="113"/>
      <c r="E106" s="116">
        <f>E102-E104+E105</f>
        <v>3035.0872999999992</v>
      </c>
      <c r="F106" s="116">
        <f>F102-F104+F105</f>
        <v>3748.1139028549987</v>
      </c>
      <c r="G106" s="116">
        <f>G102-G104+G105</f>
        <v>4087.5012535749156</v>
      </c>
      <c r="H106" s="116">
        <f>H102-H104+H105</f>
        <v>6480.7044252564865</v>
      </c>
      <c r="I106" s="116">
        <f>I102-I104+I105</f>
        <v>7716.5143336506353</v>
      </c>
    </row>
    <row r="107" spans="1:9" x14ac:dyDescent="0.2">
      <c r="A107"/>
      <c r="C107"/>
      <c r="D107" s="113"/>
      <c r="E107" s="113"/>
      <c r="F107" s="113"/>
      <c r="G107" s="113"/>
      <c r="H107" s="113"/>
      <c r="I107" s="113"/>
    </row>
    <row r="108" spans="1:9" x14ac:dyDescent="0.2">
      <c r="A108"/>
      <c r="B108" s="58" t="s">
        <v>69</v>
      </c>
      <c r="C108"/>
      <c r="D108" s="113"/>
      <c r="E108" s="118">
        <f>(E106/$E$17)^(1/E101)-1</f>
        <v>5.4999999999999716E-2</v>
      </c>
      <c r="F108" s="118">
        <f>(F106/$E$17)^(1/F101)-1</f>
        <v>0.14142406917893879</v>
      </c>
      <c r="G108" s="118">
        <f>(G106/$E$17)^(1/G101)-1</f>
        <v>0.12420727231065243</v>
      </c>
      <c r="H108" s="118">
        <f>(H106/$E$17)^(1/H101)-1</f>
        <v>0.2251122195759927</v>
      </c>
      <c r="I108" s="118">
        <f>(I106/$E$17)^(1/I101)-1</f>
        <v>0.21814920996488407</v>
      </c>
    </row>
    <row r="109" spans="1:9" x14ac:dyDescent="0.2">
      <c r="A109"/>
      <c r="B109" s="58" t="s">
        <v>106</v>
      </c>
      <c r="C109"/>
      <c r="D109" s="113"/>
      <c r="E109" s="120">
        <f>E106/$E$17</f>
        <v>1.0549999999999997</v>
      </c>
      <c r="F109" s="120">
        <f>F106/$E$17</f>
        <v>1.3028489057010069</v>
      </c>
      <c r="G109" s="120">
        <f>G106/$E$17</f>
        <v>1.4208203574643588</v>
      </c>
      <c r="H109" s="120">
        <f>H106/$E$17</f>
        <v>2.2527006615742464</v>
      </c>
      <c r="I109" s="120">
        <f>I106/$E$17</f>
        <v>2.6822696737591105</v>
      </c>
    </row>
    <row r="110" spans="1:9" x14ac:dyDescent="0.2">
      <c r="A110"/>
      <c r="B110" s="107"/>
      <c r="C110" s="107"/>
      <c r="D110" s="107"/>
      <c r="E110" s="107"/>
      <c r="F110" s="107"/>
      <c r="G110" s="107"/>
      <c r="H110" s="107"/>
      <c r="I110" s="107"/>
    </row>
    <row r="111" spans="1:9" x14ac:dyDescent="0.2">
      <c r="A111"/>
    </row>
    <row r="112" spans="1:9" ht="16" x14ac:dyDescent="0.2">
      <c r="A112"/>
      <c r="B112" s="121" t="s">
        <v>114</v>
      </c>
    </row>
    <row r="113" spans="1:10" x14ac:dyDescent="0.2">
      <c r="A113"/>
      <c r="B113" s="58" t="s">
        <v>111</v>
      </c>
      <c r="I113" s="81">
        <v>0.05</v>
      </c>
    </row>
    <row r="114" spans="1:10" x14ac:dyDescent="0.2">
      <c r="A114"/>
      <c r="B114" s="58" t="s">
        <v>112</v>
      </c>
      <c r="I114" s="117">
        <f>+I106*I113</f>
        <v>385.82571668253178</v>
      </c>
    </row>
    <row r="115" spans="1:10" x14ac:dyDescent="0.2">
      <c r="A115"/>
      <c r="B115" s="58" t="s">
        <v>110</v>
      </c>
      <c r="C115"/>
      <c r="D115" s="117">
        <f>-E16</f>
        <v>-2876.86</v>
      </c>
      <c r="E115" s="117">
        <f>E85</f>
        <v>316.45460000000003</v>
      </c>
      <c r="F115" s="117">
        <f>F85</f>
        <v>322.78369200000003</v>
      </c>
      <c r="G115" s="117">
        <f>G85</f>
        <v>329.23936584</v>
      </c>
      <c r="H115" s="117">
        <f>H85</f>
        <v>335.82415315680004</v>
      </c>
      <c r="I115" s="117">
        <f>I85+MIN(I87,I102-I79-I73)+I114</f>
        <v>3904.65225239642</v>
      </c>
    </row>
    <row r="116" spans="1:10" x14ac:dyDescent="0.2">
      <c r="A116"/>
      <c r="B116" s="58" t="s">
        <v>115</v>
      </c>
      <c r="D116" s="122">
        <f>IRR(D115:I115)</f>
        <v>0.14924485181929859</v>
      </c>
    </row>
    <row r="117" spans="1:10" x14ac:dyDescent="0.2">
      <c r="A117"/>
      <c r="B117" s="58" t="s">
        <v>116</v>
      </c>
      <c r="D117" s="123">
        <f>SUM(E115:I115)/-D115</f>
        <v>1.8106387044879555</v>
      </c>
    </row>
    <row r="118" spans="1:10" x14ac:dyDescent="0.2">
      <c r="A118"/>
    </row>
    <row r="119" spans="1:10" ht="16" x14ac:dyDescent="0.2">
      <c r="A119"/>
      <c r="B119" s="121" t="s">
        <v>113</v>
      </c>
    </row>
    <row r="120" spans="1:10" x14ac:dyDescent="0.2">
      <c r="A120"/>
      <c r="B120" s="58" t="s">
        <v>117</v>
      </c>
      <c r="D120" s="117">
        <f>-E17</f>
        <v>-2876.86</v>
      </c>
      <c r="E120" s="117">
        <v>0</v>
      </c>
      <c r="F120" s="117">
        <v>0</v>
      </c>
      <c r="G120" s="117">
        <v>0</v>
      </c>
      <c r="H120" s="117">
        <v>0</v>
      </c>
      <c r="I120" s="117">
        <f>I106-I114</f>
        <v>7330.6886169681038</v>
      </c>
    </row>
    <row r="121" spans="1:10" x14ac:dyDescent="0.2">
      <c r="A121"/>
      <c r="B121" s="58" t="s">
        <v>118</v>
      </c>
      <c r="D121" s="122">
        <f>IRR(D120:I120)</f>
        <v>0.20571651319015993</v>
      </c>
    </row>
    <row r="122" spans="1:10" x14ac:dyDescent="0.2">
      <c r="A122"/>
      <c r="B122" s="58" t="s">
        <v>119</v>
      </c>
      <c r="C122"/>
      <c r="D122" s="123">
        <f>SUM(E120:I120)/-D120</f>
        <v>2.5481561900711553</v>
      </c>
    </row>
    <row r="123" spans="1:10" ht="16" thickBot="1" x14ac:dyDescent="0.25">
      <c r="A123"/>
      <c r="B123" s="65"/>
      <c r="C123" s="65"/>
      <c r="D123" s="65"/>
      <c r="E123" s="110"/>
      <c r="F123" s="110"/>
      <c r="G123" s="110"/>
      <c r="H123" s="110"/>
      <c r="I123" s="110"/>
    </row>
    <row r="124" spans="1:10" ht="16" thickTop="1" x14ac:dyDescent="0.2">
      <c r="A124"/>
    </row>
    <row r="125" spans="1:10" x14ac:dyDescent="0.2">
      <c r="A125"/>
      <c r="B125" s="145" t="s">
        <v>107</v>
      </c>
      <c r="C125" s="145"/>
      <c r="D125" s="145"/>
      <c r="E125" s="145"/>
      <c r="F125" s="145"/>
      <c r="G125" s="145"/>
      <c r="H125" s="145"/>
      <c r="I125" s="145"/>
      <c r="J125"/>
    </row>
    <row r="126" spans="1:10" x14ac:dyDescent="0.2">
      <c r="I126"/>
      <c r="J126"/>
    </row>
    <row r="127" spans="1:10" x14ac:dyDescent="0.2">
      <c r="F127" s="58" t="s">
        <v>114</v>
      </c>
      <c r="I127"/>
      <c r="J127"/>
    </row>
    <row r="128" spans="1:10" x14ac:dyDescent="0.2">
      <c r="C128" s="147" t="s">
        <v>67</v>
      </c>
      <c r="D128" s="147"/>
      <c r="E128" s="147"/>
      <c r="F128" s="147"/>
      <c r="G128" s="147"/>
      <c r="H128" s="147"/>
      <c r="I128" s="147"/>
    </row>
    <row r="129" spans="2:9" x14ac:dyDescent="0.2">
      <c r="B129" s="82"/>
      <c r="C129" s="124" t="s">
        <v>10</v>
      </c>
      <c r="D129" s="124"/>
      <c r="E129" s="124"/>
      <c r="F129" s="124"/>
      <c r="G129" s="124"/>
      <c r="H129" s="124"/>
      <c r="I129" s="73"/>
    </row>
    <row r="130" spans="2:9" x14ac:dyDescent="0.2">
      <c r="C130" s="111">
        <f>D116</f>
        <v>0.14924485181929859</v>
      </c>
      <c r="D130" s="83">
        <v>6</v>
      </c>
      <c r="E130" s="83">
        <v>7.5</v>
      </c>
      <c r="F130" s="83">
        <v>8</v>
      </c>
      <c r="G130" s="83">
        <v>9.5</v>
      </c>
      <c r="H130" s="83">
        <v>10</v>
      </c>
      <c r="I130" s="83">
        <v>11</v>
      </c>
    </row>
    <row r="131" spans="2:9" ht="14.5" customHeight="1" x14ac:dyDescent="0.2">
      <c r="B131" s="144" t="s">
        <v>68</v>
      </c>
      <c r="C131" s="112">
        <v>-0.2</v>
      </c>
      <c r="D131" s="129">
        <f t="dataTable" ref="D131:I136" dt2D="1" dtr="1" r1="D102" r2="C31"/>
        <v>0.13781814099652734</v>
      </c>
      <c r="E131" s="129">
        <v>0.14450141896357804</v>
      </c>
      <c r="F131" s="129">
        <v>0.14669154953369823</v>
      </c>
      <c r="G131" s="129">
        <v>0.15315399729951085</v>
      </c>
      <c r="H131" s="129">
        <v>0.15527327374117172</v>
      </c>
      <c r="I131" s="129">
        <v>0.15946141355498122</v>
      </c>
    </row>
    <row r="132" spans="2:9" x14ac:dyDescent="0.2">
      <c r="B132" s="144"/>
      <c r="C132" s="112">
        <v>-0.1</v>
      </c>
      <c r="D132" s="129">
        <v>0.13914221949359362</v>
      </c>
      <c r="E132" s="129">
        <v>0.1457919446542717</v>
      </c>
      <c r="F132" s="129">
        <v>0.14797131723654555</v>
      </c>
      <c r="G132" s="129">
        <v>0.15440268348817976</v>
      </c>
      <c r="H132" s="129">
        <v>0.15651197794436444</v>
      </c>
      <c r="I132" s="129">
        <v>0.16068068971540828</v>
      </c>
    </row>
    <row r="133" spans="2:9" ht="16" x14ac:dyDescent="0.2">
      <c r="B133" s="144"/>
      <c r="C133" s="112">
        <v>0</v>
      </c>
      <c r="D133" s="129">
        <v>0.14045956257024317</v>
      </c>
      <c r="E133" s="129">
        <v>0.14707611729040959</v>
      </c>
      <c r="F133" s="130">
        <v>0.14924485181929859</v>
      </c>
      <c r="G133" s="129">
        <v>0.15564547584406707</v>
      </c>
      <c r="H133" s="129">
        <v>0.15774489501148725</v>
      </c>
      <c r="I133" s="129">
        <v>0.16189438325964867</v>
      </c>
    </row>
    <row r="134" spans="2:9" x14ac:dyDescent="0.2">
      <c r="B134" s="144"/>
      <c r="C134" s="112">
        <v>0.05</v>
      </c>
      <c r="D134" s="129">
        <v>0.14111573268356259</v>
      </c>
      <c r="E134" s="129">
        <v>0.14771584344358124</v>
      </c>
      <c r="F134" s="129">
        <v>0.14987930326856835</v>
      </c>
      <c r="G134" s="129">
        <v>0.15626468160477236</v>
      </c>
      <c r="H134" s="129">
        <v>0.15835920258243164</v>
      </c>
      <c r="I134" s="129">
        <v>0.1624991547132586</v>
      </c>
    </row>
    <row r="135" spans="2:9" x14ac:dyDescent="0.2">
      <c r="B135" s="144"/>
      <c r="C135" s="112">
        <v>0.08</v>
      </c>
      <c r="D135" s="129">
        <v>0.1415086398364922</v>
      </c>
      <c r="E135" s="129">
        <v>0.14809892894188592</v>
      </c>
      <c r="F135" s="129">
        <v>0.15025923797995167</v>
      </c>
      <c r="G135" s="129">
        <v>0.15663550862920617</v>
      </c>
      <c r="H135" s="129">
        <v>0.1587271031922759</v>
      </c>
      <c r="I135" s="129">
        <v>0.16286135762049314</v>
      </c>
    </row>
    <row r="136" spans="2:9" x14ac:dyDescent="0.2">
      <c r="B136" s="144"/>
      <c r="C136" s="112">
        <v>0.1</v>
      </c>
      <c r="D136" s="129">
        <v>0.14179516478084397</v>
      </c>
      <c r="E136" s="129">
        <v>0.14837830319219147</v>
      </c>
      <c r="F136" s="129">
        <v>0.15053631814183177</v>
      </c>
      <c r="G136" s="129">
        <v>0.1569059570873288</v>
      </c>
      <c r="H136" s="129">
        <v>0.15899542067617523</v>
      </c>
      <c r="I136" s="129">
        <v>0.16312552594447416</v>
      </c>
    </row>
    <row r="139" spans="2:9" x14ac:dyDescent="0.2">
      <c r="C139" s="147" t="s">
        <v>67</v>
      </c>
      <c r="D139" s="147"/>
      <c r="E139" s="147"/>
      <c r="F139" s="147"/>
      <c r="G139" s="147"/>
      <c r="H139" s="147"/>
      <c r="I139" s="147"/>
    </row>
    <row r="140" spans="2:9" x14ac:dyDescent="0.2">
      <c r="B140" s="82"/>
      <c r="C140" s="124" t="s">
        <v>10</v>
      </c>
      <c r="D140" s="124"/>
      <c r="E140" s="124"/>
      <c r="F140" s="124"/>
      <c r="G140" s="124"/>
      <c r="H140" s="124"/>
      <c r="I140" s="73"/>
    </row>
    <row r="141" spans="2:9" x14ac:dyDescent="0.2">
      <c r="C141" s="111">
        <f>D121</f>
        <v>0.20571651319015993</v>
      </c>
      <c r="D141" s="83">
        <v>6</v>
      </c>
      <c r="E141" s="83">
        <v>7.5</v>
      </c>
      <c r="F141" s="83">
        <v>8</v>
      </c>
      <c r="G141" s="83">
        <v>9.5</v>
      </c>
      <c r="H141" s="83">
        <v>10</v>
      </c>
      <c r="I141" s="83">
        <v>11</v>
      </c>
    </row>
    <row r="142" spans="2:9" x14ac:dyDescent="0.2">
      <c r="B142" s="144" t="s">
        <v>68</v>
      </c>
      <c r="C142" s="112">
        <v>-0.2</v>
      </c>
      <c r="D142" s="129">
        <f t="dataTable" ref="D142:I147" dt2D="1" dtr="1" r1="D102" r2="C31" ca="1"/>
        <v>2.4663500645627501E-3</v>
      </c>
      <c r="E142" s="129">
        <v>0.13726629364085574</v>
      </c>
      <c r="F142" s="129">
        <v>0.17071141064100082</v>
      </c>
      <c r="G142" s="129">
        <v>0.25304975435896893</v>
      </c>
      <c r="H142" s="129">
        <v>0.27624354382294247</v>
      </c>
      <c r="I142" s="129">
        <v>0.31813375721612536</v>
      </c>
    </row>
    <row r="143" spans="2:9" x14ac:dyDescent="0.2">
      <c r="B143" s="144"/>
      <c r="C143" s="112">
        <v>-0.1</v>
      </c>
      <c r="D143" s="129">
        <v>3.4864662270198243E-2</v>
      </c>
      <c r="E143" s="129">
        <v>0.15740535720058446</v>
      </c>
      <c r="F143" s="129">
        <v>0.18872920068449384</v>
      </c>
      <c r="G143" s="129">
        <v>0.26689803858668237</v>
      </c>
      <c r="H143" s="129">
        <v>0.28913670601653596</v>
      </c>
      <c r="I143" s="129">
        <v>0.32949803964224023</v>
      </c>
    </row>
    <row r="144" spans="2:9" ht="16" x14ac:dyDescent="0.2">
      <c r="B144" s="144"/>
      <c r="C144" s="112">
        <v>0</v>
      </c>
      <c r="D144" s="129">
        <v>6.3650352183770131E-2</v>
      </c>
      <c r="E144" s="129">
        <v>0.17623307011862854</v>
      </c>
      <c r="F144" s="130">
        <v>0.20571651319015993</v>
      </c>
      <c r="G144" s="129">
        <v>0.28016603434596332</v>
      </c>
      <c r="H144" s="129">
        <v>0.3015337962661051</v>
      </c>
      <c r="I144" s="129">
        <v>0.34048654552265911</v>
      </c>
    </row>
    <row r="145" spans="2:9" x14ac:dyDescent="0.2">
      <c r="B145" s="144"/>
      <c r="C145" s="112">
        <v>0.05</v>
      </c>
      <c r="D145" s="129">
        <v>7.6948277379259133E-2</v>
      </c>
      <c r="E145" s="129">
        <v>0.1852122005460286</v>
      </c>
      <c r="F145" s="129">
        <v>0.21386334384189798</v>
      </c>
      <c r="G145" s="129">
        <v>0.28659895938672486</v>
      </c>
      <c r="H145" s="129">
        <v>0.30755932862393043</v>
      </c>
      <c r="I145" s="129">
        <v>0.34584839077937235</v>
      </c>
    </row>
    <row r="146" spans="2:9" x14ac:dyDescent="0.2">
      <c r="B146" s="144"/>
      <c r="C146" s="112">
        <v>0.08</v>
      </c>
      <c r="D146" s="129">
        <v>8.4622263833289857E-2</v>
      </c>
      <c r="E146" s="129">
        <v>0.19047177608482868</v>
      </c>
      <c r="F146" s="129">
        <v>0.21864839393071955</v>
      </c>
      <c r="G146" s="129">
        <v>0.29039781024284594</v>
      </c>
      <c r="H146" s="129">
        <v>0.31112201345182044</v>
      </c>
      <c r="I146" s="129">
        <v>0.34902493567253012</v>
      </c>
    </row>
    <row r="147" spans="2:9" x14ac:dyDescent="0.2">
      <c r="B147" s="144"/>
      <c r="C147" s="112">
        <v>0.1</v>
      </c>
      <c r="D147" s="129">
        <v>9.0091621893832796E-2</v>
      </c>
      <c r="E147" s="129">
        <v>0.19425440809582506</v>
      </c>
      <c r="F147" s="129">
        <v>0.22209554052342328</v>
      </c>
      <c r="G147" s="129">
        <v>0.29314372837051317</v>
      </c>
      <c r="H147" s="129">
        <v>0.31369922812165285</v>
      </c>
      <c r="I147" s="129">
        <v>0.35132568391542351</v>
      </c>
    </row>
  </sheetData>
  <mergeCells count="13">
    <mergeCell ref="B22:I22"/>
    <mergeCell ref="B3:I3"/>
    <mergeCell ref="B4:I4"/>
    <mergeCell ref="B5:I5"/>
    <mergeCell ref="B20:I20"/>
    <mergeCell ref="B21:I21"/>
    <mergeCell ref="B142:B147"/>
    <mergeCell ref="B98:I98"/>
    <mergeCell ref="B99:I99"/>
    <mergeCell ref="B125:I125"/>
    <mergeCell ref="C128:I128"/>
    <mergeCell ref="B131:B136"/>
    <mergeCell ref="C139:I139"/>
  </mergeCells>
  <pageMargins left="0.7" right="0.7" top="0.75" bottom="0.75" header="0.3" footer="0.3"/>
  <pageSetup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8158-F3EA-44C2-818E-2AE9E3CCFEDC}">
  <dimension ref="B3:H18"/>
  <sheetViews>
    <sheetView showGridLines="0" workbookViewId="0">
      <selection activeCell="B10" sqref="B10"/>
    </sheetView>
  </sheetViews>
  <sheetFormatPr baseColWidth="10" defaultColWidth="8.83203125" defaultRowHeight="14" x14ac:dyDescent="0.15"/>
  <cols>
    <col min="2" max="2" width="26.5" customWidth="1"/>
    <col min="3" max="8" width="14.6640625" customWidth="1"/>
  </cols>
  <sheetData>
    <row r="3" spans="2:8" ht="15" x14ac:dyDescent="0.2">
      <c r="B3" s="89" t="s">
        <v>120</v>
      </c>
      <c r="C3" s="90"/>
      <c r="D3" s="90"/>
      <c r="E3" s="90"/>
      <c r="F3" s="90"/>
      <c r="G3" s="90"/>
      <c r="H3" s="90"/>
    </row>
    <row r="4" spans="2:8" ht="15" x14ac:dyDescent="0.2">
      <c r="B4" s="73"/>
      <c r="C4" s="73"/>
      <c r="D4" s="73"/>
      <c r="E4" s="73"/>
      <c r="F4" s="73"/>
      <c r="G4" s="73"/>
      <c r="H4" s="73"/>
    </row>
    <row r="5" spans="2:8" ht="15" x14ac:dyDescent="0.2">
      <c r="B5" s="58"/>
      <c r="C5" s="58"/>
      <c r="D5" s="58"/>
      <c r="E5" s="58"/>
      <c r="F5" s="58"/>
      <c r="G5" s="58"/>
      <c r="H5" s="58"/>
    </row>
    <row r="6" spans="2:8" ht="15" x14ac:dyDescent="0.2">
      <c r="B6" s="97" t="s">
        <v>93</v>
      </c>
      <c r="C6" s="98"/>
      <c r="D6" s="58"/>
      <c r="E6" s="58"/>
      <c r="F6" s="58"/>
      <c r="G6" s="56"/>
      <c r="H6" s="79"/>
    </row>
    <row r="7" spans="2:8" ht="15" x14ac:dyDescent="0.2">
      <c r="B7" s="96">
        <v>2024</v>
      </c>
      <c r="C7" s="61">
        <v>682.03199999999993</v>
      </c>
      <c r="G7" s="56"/>
      <c r="H7" s="80"/>
    </row>
    <row r="8" spans="2:8" ht="15" x14ac:dyDescent="0.2">
      <c r="B8" s="96">
        <v>2025</v>
      </c>
      <c r="C8" s="61">
        <v>925.44399999999985</v>
      </c>
      <c r="G8" s="56"/>
      <c r="H8" s="68"/>
    </row>
    <row r="9" spans="2:8" ht="15" x14ac:dyDescent="0.2">
      <c r="B9" s="96">
        <v>2026</v>
      </c>
      <c r="C9" s="61">
        <v>908.11160000000075</v>
      </c>
      <c r="D9" s="58"/>
      <c r="E9" s="56"/>
      <c r="F9" s="58"/>
      <c r="G9" s="56"/>
      <c r="H9" s="84"/>
    </row>
    <row r="10" spans="2:8" ht="15" x14ac:dyDescent="0.2">
      <c r="B10" s="96">
        <v>2027</v>
      </c>
      <c r="C10" s="61">
        <v>1032.6669999999999</v>
      </c>
      <c r="D10" s="92"/>
      <c r="E10" s="93"/>
      <c r="F10" s="93"/>
      <c r="G10" s="93"/>
      <c r="H10" s="93"/>
    </row>
    <row r="11" spans="2:8" ht="15" x14ac:dyDescent="0.2">
      <c r="B11" s="96">
        <v>2028</v>
      </c>
      <c r="C11" s="61">
        <v>1069.4900000000002</v>
      </c>
      <c r="D11" s="68"/>
      <c r="E11" s="73"/>
      <c r="F11" s="73"/>
      <c r="G11" s="73"/>
      <c r="H11" s="73"/>
    </row>
    <row r="12" spans="2:8" ht="15" x14ac:dyDescent="0.2">
      <c r="C12" s="76"/>
      <c r="D12" s="68"/>
      <c r="E12" s="94"/>
      <c r="F12" s="74"/>
      <c r="G12" s="74"/>
      <c r="H12" s="73"/>
    </row>
    <row r="13" spans="2:8" ht="15" x14ac:dyDescent="0.2">
      <c r="B13" s="89" t="s">
        <v>95</v>
      </c>
      <c r="C13" s="76"/>
      <c r="D13" s="68"/>
      <c r="E13" s="94"/>
      <c r="F13" s="74"/>
      <c r="G13" s="74"/>
      <c r="H13" s="73"/>
    </row>
    <row r="14" spans="2:8" ht="15" x14ac:dyDescent="0.2">
      <c r="B14" s="89" t="s">
        <v>94</v>
      </c>
      <c r="C14" s="76"/>
    </row>
    <row r="15" spans="2:8" ht="15" x14ac:dyDescent="0.2">
      <c r="B15" s="89" t="s">
        <v>72</v>
      </c>
      <c r="C15" s="76"/>
      <c r="D15" s="68"/>
      <c r="E15" s="58"/>
      <c r="F15" s="58"/>
      <c r="G15" s="58"/>
      <c r="H15" s="58"/>
    </row>
    <row r="16" spans="2:8" ht="15" x14ac:dyDescent="0.2">
      <c r="B16" s="58" t="s">
        <v>70</v>
      </c>
      <c r="C16" s="76"/>
      <c r="D16" s="68"/>
      <c r="E16" s="58"/>
      <c r="F16" s="58"/>
      <c r="G16" s="58"/>
      <c r="H16" s="58"/>
    </row>
    <row r="17" spans="2:8" ht="15" x14ac:dyDescent="0.2">
      <c r="B17" s="58" t="s">
        <v>78</v>
      </c>
      <c r="C17" s="58"/>
      <c r="D17" s="58"/>
      <c r="E17" s="95"/>
      <c r="F17" s="58"/>
      <c r="G17" s="58"/>
      <c r="H17" s="58"/>
    </row>
    <row r="18" spans="2:8" ht="15" x14ac:dyDescent="0.2">
      <c r="B18" s="58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D1A2-FD07-46CE-947D-45FF7B48E4E2}">
  <sheetPr>
    <tabColor rgb="FF0070C0"/>
  </sheetPr>
  <dimension ref="A1:I32"/>
  <sheetViews>
    <sheetView showGridLines="0" zoomScaleNormal="100" workbookViewId="0">
      <selection activeCell="D17" sqref="D17"/>
    </sheetView>
  </sheetViews>
  <sheetFormatPr baseColWidth="10" defaultColWidth="7.5" defaultRowHeight="15" x14ac:dyDescent="0.2"/>
  <cols>
    <col min="1" max="1" width="7.5" style="1" customWidth="1"/>
    <col min="2" max="2" width="35" style="1" customWidth="1"/>
    <col min="3" max="9" width="10.5" style="1" customWidth="1"/>
    <col min="10" max="16384" width="7.5" style="1"/>
  </cols>
  <sheetData>
    <row r="1" spans="1:9" x14ac:dyDescent="0.2">
      <c r="B1" s="150" t="s">
        <v>31</v>
      </c>
      <c r="C1" s="150"/>
      <c r="D1" s="150"/>
      <c r="E1" s="150"/>
      <c r="F1" s="150"/>
      <c r="G1" s="150"/>
      <c r="H1" s="150"/>
      <c r="I1" s="150"/>
    </row>
    <row r="2" spans="1:9" x14ac:dyDescent="0.2">
      <c r="B2" s="146" t="s">
        <v>36</v>
      </c>
      <c r="C2" s="146"/>
      <c r="D2" s="146"/>
      <c r="E2" s="146"/>
      <c r="F2" s="146"/>
      <c r="G2" s="146"/>
      <c r="H2" s="146"/>
      <c r="I2" s="146"/>
    </row>
    <row r="3" spans="1:9" x14ac:dyDescent="0.2">
      <c r="B3" s="150" t="s">
        <v>30</v>
      </c>
      <c r="C3" s="150"/>
      <c r="D3" s="150"/>
      <c r="E3" s="150"/>
      <c r="F3" s="150"/>
      <c r="G3" s="150"/>
      <c r="H3" s="150"/>
      <c r="I3" s="150"/>
    </row>
    <row r="4" spans="1:9" ht="9.75" customHeight="1" thickBot="1" x14ac:dyDescent="0.25"/>
    <row r="5" spans="1:9" ht="33" thickTop="1" x14ac:dyDescent="0.2">
      <c r="A5" s="35"/>
      <c r="B5" s="34" t="s">
        <v>29</v>
      </c>
      <c r="C5" s="33">
        <v>44592</v>
      </c>
      <c r="D5" s="33">
        <v>44957</v>
      </c>
      <c r="E5" s="33">
        <v>45322</v>
      </c>
      <c r="F5" s="33">
        <v>45688</v>
      </c>
      <c r="G5" s="33">
        <v>46053</v>
      </c>
      <c r="H5" s="33">
        <v>46418</v>
      </c>
      <c r="I5" s="33">
        <v>46783</v>
      </c>
    </row>
    <row r="6" spans="1:9" x14ac:dyDescent="0.2">
      <c r="B6" s="14" t="s">
        <v>11</v>
      </c>
      <c r="C6" s="31">
        <v>3120.69</v>
      </c>
      <c r="D6" s="30">
        <v>3555.52</v>
      </c>
      <c r="E6" s="29">
        <v>3469</v>
      </c>
      <c r="F6" s="29">
        <v>3414</v>
      </c>
      <c r="G6" s="29">
        <v>3537.46</v>
      </c>
      <c r="H6" s="29">
        <v>3664.8</v>
      </c>
      <c r="I6" s="29">
        <v>3824.98</v>
      </c>
    </row>
    <row r="7" spans="1:9" x14ac:dyDescent="0.2">
      <c r="B7" s="14" t="s">
        <v>12</v>
      </c>
      <c r="C7" s="31">
        <v>2234.5500000000002</v>
      </c>
      <c r="D7" s="30">
        <v>2278.13</v>
      </c>
      <c r="E7" s="29">
        <v>2277</v>
      </c>
      <c r="F7" s="29">
        <v>2454</v>
      </c>
      <c r="G7" s="29">
        <v>2542.7399999999998</v>
      </c>
      <c r="H7" s="29">
        <v>2634.28</v>
      </c>
      <c r="I7" s="29">
        <v>2749.41</v>
      </c>
    </row>
    <row r="8" spans="1:9" x14ac:dyDescent="0.2">
      <c r="B8" s="14" t="s">
        <v>13</v>
      </c>
      <c r="C8" s="31">
        <v>1345.85</v>
      </c>
      <c r="D8" s="30">
        <v>1286.6500000000001</v>
      </c>
      <c r="E8" s="29">
        <v>1244</v>
      </c>
      <c r="F8" s="29">
        <v>1224</v>
      </c>
      <c r="G8" s="29">
        <v>1268.26</v>
      </c>
      <c r="H8" s="29">
        <v>1313.92</v>
      </c>
      <c r="I8" s="29">
        <v>1371.35</v>
      </c>
    </row>
    <row r="9" spans="1:9" x14ac:dyDescent="0.2">
      <c r="B9" s="14" t="s">
        <v>14</v>
      </c>
      <c r="C9" s="31">
        <v>1139.8900000000001</v>
      </c>
      <c r="D9" s="30">
        <v>1132.94</v>
      </c>
      <c r="E9" s="29">
        <v>1052</v>
      </c>
      <c r="F9" s="29">
        <v>998</v>
      </c>
      <c r="G9" s="29">
        <v>1034.0899999999999</v>
      </c>
      <c r="H9" s="29">
        <v>1071.32</v>
      </c>
      <c r="I9" s="29">
        <v>1118.1400000000001</v>
      </c>
    </row>
    <row r="10" spans="1:9" x14ac:dyDescent="0.2">
      <c r="B10" s="14" t="s">
        <v>15</v>
      </c>
      <c r="C10" s="31">
        <v>404.96</v>
      </c>
      <c r="D10" s="30">
        <v>421.18</v>
      </c>
      <c r="E10" s="29">
        <v>429</v>
      </c>
      <c r="F10" s="29">
        <v>463</v>
      </c>
      <c r="G10" s="29">
        <v>479.74</v>
      </c>
      <c r="H10" s="29">
        <v>497.01</v>
      </c>
      <c r="I10" s="29">
        <v>518.74</v>
      </c>
    </row>
    <row r="11" spans="1:9" x14ac:dyDescent="0.2">
      <c r="B11" s="28" t="s">
        <v>28</v>
      </c>
      <c r="C11" s="27">
        <v>8245.94</v>
      </c>
      <c r="D11" s="26">
        <v>8674.42</v>
      </c>
      <c r="E11" s="25">
        <v>8471</v>
      </c>
      <c r="F11" s="25">
        <v>8553</v>
      </c>
      <c r="G11" s="25">
        <v>8862.2900000000009</v>
      </c>
      <c r="H11" s="25">
        <v>9181.33</v>
      </c>
      <c r="I11" s="25">
        <v>9582.61</v>
      </c>
    </row>
    <row r="12" spans="1:9" x14ac:dyDescent="0.2">
      <c r="B12" s="32" t="s">
        <v>27</v>
      </c>
      <c r="C12" s="31">
        <v>4613.97</v>
      </c>
      <c r="D12" s="30">
        <v>4996.68</v>
      </c>
      <c r="E12" s="29">
        <v>5067.8</v>
      </c>
      <c r="F12" s="29">
        <v>5082.1000000000004</v>
      </c>
      <c r="G12" s="29">
        <v>5241.16</v>
      </c>
      <c r="H12" s="29">
        <v>5407.8</v>
      </c>
      <c r="I12" s="29">
        <v>5605.83</v>
      </c>
    </row>
    <row r="13" spans="1:9" x14ac:dyDescent="0.2">
      <c r="B13" s="28" t="s">
        <v>2</v>
      </c>
      <c r="C13" s="27">
        <v>3631.96</v>
      </c>
      <c r="D13" s="26">
        <v>3677.73</v>
      </c>
      <c r="E13" s="25">
        <v>3403.2</v>
      </c>
      <c r="F13" s="25">
        <v>3470.9</v>
      </c>
      <c r="G13" s="25">
        <v>3621.13</v>
      </c>
      <c r="H13" s="25">
        <v>3773.53</v>
      </c>
      <c r="I13" s="25">
        <v>3976.78</v>
      </c>
    </row>
    <row r="14" spans="1:9" x14ac:dyDescent="0.2">
      <c r="B14" s="14" t="s">
        <v>26</v>
      </c>
      <c r="C14" s="24">
        <v>2178.85</v>
      </c>
      <c r="D14" s="23">
        <v>2179.31</v>
      </c>
      <c r="E14" s="22">
        <v>2189.6</v>
      </c>
      <c r="F14" s="22">
        <v>2223.6999999999998</v>
      </c>
      <c r="G14" s="22">
        <v>2395.0500000000002</v>
      </c>
      <c r="H14" s="22">
        <v>2313.4299999999998</v>
      </c>
      <c r="I14" s="22">
        <v>2443.7800000000002</v>
      </c>
    </row>
    <row r="15" spans="1:9" x14ac:dyDescent="0.2">
      <c r="B15" s="13" t="s">
        <v>25</v>
      </c>
      <c r="C15" s="21">
        <v>1453.12</v>
      </c>
      <c r="D15" s="20">
        <v>1498.42</v>
      </c>
      <c r="E15" s="19">
        <v>1213.5999999999999</v>
      </c>
      <c r="F15" s="19">
        <v>1247.2</v>
      </c>
      <c r="G15" s="19">
        <v>1226.08</v>
      </c>
      <c r="H15" s="19">
        <v>1460.1</v>
      </c>
      <c r="I15" s="19">
        <v>1533</v>
      </c>
    </row>
    <row r="16" spans="1:9" ht="4.5" customHeight="1" x14ac:dyDescent="0.2">
      <c r="B16" s="18"/>
      <c r="C16" s="17"/>
      <c r="D16" s="16"/>
      <c r="E16" s="15"/>
      <c r="F16" s="15"/>
      <c r="G16" s="15"/>
      <c r="H16" s="15"/>
      <c r="I16" s="15"/>
    </row>
    <row r="17" spans="2:9" x14ac:dyDescent="0.2">
      <c r="B17" s="14" t="s">
        <v>24</v>
      </c>
      <c r="C17" s="12">
        <v>196.1</v>
      </c>
      <c r="D17" s="11">
        <v>214.2</v>
      </c>
      <c r="E17" s="10">
        <v>224.83</v>
      </c>
      <c r="F17" s="10">
        <v>233.48</v>
      </c>
      <c r="G17" s="10">
        <v>250.75</v>
      </c>
      <c r="H17" s="10">
        <v>252.51</v>
      </c>
      <c r="I17" s="10">
        <v>263.87</v>
      </c>
    </row>
    <row r="18" spans="2:9" x14ac:dyDescent="0.2">
      <c r="B18" s="13" t="s">
        <v>0</v>
      </c>
      <c r="C18" s="12">
        <v>1649.22</v>
      </c>
      <c r="D18" s="11">
        <v>1712.62</v>
      </c>
      <c r="E18" s="10">
        <v>1438.43</v>
      </c>
      <c r="F18" s="10">
        <v>1480.68</v>
      </c>
      <c r="G18" s="10">
        <v>1476.83</v>
      </c>
      <c r="H18" s="10">
        <v>1712.61</v>
      </c>
      <c r="I18" s="10">
        <v>1796.87</v>
      </c>
    </row>
    <row r="19" spans="2:9" ht="17" x14ac:dyDescent="0.2">
      <c r="B19" s="6" t="s">
        <v>23</v>
      </c>
      <c r="C19" s="4">
        <v>334.22</v>
      </c>
      <c r="D19" s="5">
        <v>344.64</v>
      </c>
      <c r="E19" s="4">
        <v>279.13</v>
      </c>
      <c r="F19" s="4">
        <v>286.86</v>
      </c>
      <c r="G19" s="4">
        <v>282</v>
      </c>
      <c r="H19" s="4">
        <v>335.82</v>
      </c>
      <c r="I19" s="4">
        <v>352.59</v>
      </c>
    </row>
    <row r="20" spans="2:9" x14ac:dyDescent="0.2">
      <c r="B20" s="9" t="s">
        <v>22</v>
      </c>
      <c r="C20" s="7">
        <v>1118.9000000000001</v>
      </c>
      <c r="D20" s="8">
        <v>1153.78</v>
      </c>
      <c r="E20" s="7">
        <v>934.47</v>
      </c>
      <c r="F20" s="7">
        <v>960.34</v>
      </c>
      <c r="G20" s="7">
        <v>944.08</v>
      </c>
      <c r="H20" s="7">
        <v>1124.28</v>
      </c>
      <c r="I20" s="7">
        <v>1180.4100000000001</v>
      </c>
    </row>
    <row r="21" spans="2:9" x14ac:dyDescent="0.2">
      <c r="B21" s="6" t="s">
        <v>21</v>
      </c>
      <c r="C21" s="4">
        <v>196.1</v>
      </c>
      <c r="D21" s="5">
        <v>214.2</v>
      </c>
      <c r="E21" s="4">
        <v>224.83</v>
      </c>
      <c r="F21" s="4">
        <v>233.48</v>
      </c>
      <c r="G21" s="4">
        <v>250.75</v>
      </c>
      <c r="H21" s="4">
        <v>252.51</v>
      </c>
      <c r="I21" s="4">
        <v>263.87</v>
      </c>
    </row>
    <row r="22" spans="2:9" x14ac:dyDescent="0.2">
      <c r="B22" s="6" t="s">
        <v>20</v>
      </c>
      <c r="C22" s="4">
        <v>226.5</v>
      </c>
      <c r="D22" s="5">
        <v>354.1</v>
      </c>
      <c r="E22" s="4">
        <v>249.4</v>
      </c>
      <c r="F22" s="4">
        <v>262.31</v>
      </c>
      <c r="G22" s="4">
        <v>263.81</v>
      </c>
      <c r="H22" s="4">
        <v>320.49</v>
      </c>
      <c r="I22" s="4">
        <v>345.07</v>
      </c>
    </row>
    <row r="23" spans="2:9" x14ac:dyDescent="0.2">
      <c r="B23" s="6" t="s">
        <v>19</v>
      </c>
      <c r="C23" s="4">
        <v>-366.3</v>
      </c>
      <c r="D23" s="5">
        <v>-152.6</v>
      </c>
      <c r="E23" s="4">
        <v>227.87</v>
      </c>
      <c r="F23" s="4">
        <v>6.07</v>
      </c>
      <c r="G23" s="4">
        <v>22.91</v>
      </c>
      <c r="H23" s="4">
        <v>23.63</v>
      </c>
      <c r="I23" s="4">
        <v>29.72</v>
      </c>
    </row>
    <row r="24" spans="2:9" ht="6" customHeight="1" thickBot="1" x14ac:dyDescent="0.25">
      <c r="B24" s="3"/>
      <c r="C24" s="3"/>
      <c r="D24" s="3"/>
      <c r="E24" s="3"/>
      <c r="F24" s="3"/>
      <c r="G24" s="3"/>
      <c r="H24" s="3"/>
      <c r="I24" s="3"/>
    </row>
    <row r="25" spans="2:9" ht="9" customHeight="1" thickTop="1" x14ac:dyDescent="0.2"/>
    <row r="26" spans="2:9" x14ac:dyDescent="0.2">
      <c r="B26" s="2" t="s">
        <v>18</v>
      </c>
    </row>
    <row r="27" spans="2:9" x14ac:dyDescent="0.2">
      <c r="B27" s="2" t="s">
        <v>17</v>
      </c>
    </row>
    <row r="28" spans="2:9" x14ac:dyDescent="0.2">
      <c r="B28" s="88" t="s">
        <v>78</v>
      </c>
    </row>
    <row r="29" spans="2:9" x14ac:dyDescent="0.2">
      <c r="B29" s="88" t="s">
        <v>88</v>
      </c>
    </row>
    <row r="30" spans="2:9" x14ac:dyDescent="0.2">
      <c r="B30" s="88" t="s">
        <v>79</v>
      </c>
    </row>
    <row r="31" spans="2:9" x14ac:dyDescent="0.2">
      <c r="B31" s="88"/>
    </row>
    <row r="32" spans="2:9" x14ac:dyDescent="0.2">
      <c r="B32" s="2" t="s">
        <v>16</v>
      </c>
    </row>
  </sheetData>
  <mergeCells count="3">
    <mergeCell ref="B1:I1"/>
    <mergeCell ref="B2:I2"/>
    <mergeCell ref="B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2607-2464-40F7-928E-2E0CE3EFD286}">
  <sheetPr>
    <tabColor rgb="FF0070C0"/>
  </sheetPr>
  <dimension ref="B1:T22"/>
  <sheetViews>
    <sheetView showGridLines="0" zoomScaleNormal="100" workbookViewId="0">
      <selection activeCell="Q9" sqref="Q9"/>
    </sheetView>
  </sheetViews>
  <sheetFormatPr baseColWidth="10" defaultColWidth="8" defaultRowHeight="15" x14ac:dyDescent="0.2"/>
  <cols>
    <col min="1" max="1" width="7.5" style="1" customWidth="1"/>
    <col min="2" max="2" width="34.83203125" style="1" customWidth="1"/>
    <col min="3" max="8" width="8.33203125" style="1" customWidth="1"/>
    <col min="9" max="9" width="9.6640625" style="1" customWidth="1"/>
    <col min="10" max="11" width="8.33203125" style="1" customWidth="1"/>
    <col min="12" max="12" width="7.5" style="1" customWidth="1"/>
    <col min="13" max="13" width="7.33203125" style="1" customWidth="1"/>
    <col min="14" max="14" width="9.5" style="1" customWidth="1"/>
    <col min="15" max="16" width="7.5" style="1" customWidth="1"/>
    <col min="17" max="16384" width="8" style="1"/>
  </cols>
  <sheetData>
    <row r="1" spans="2:20" x14ac:dyDescent="0.2">
      <c r="B1" s="150" t="s">
        <v>35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36"/>
      <c r="O1" s="36"/>
      <c r="P1" s="36"/>
      <c r="Q1" s="36"/>
      <c r="R1" s="36"/>
      <c r="S1" s="36"/>
      <c r="T1" s="36"/>
    </row>
    <row r="2" spans="2:20" x14ac:dyDescent="0.2">
      <c r="B2" s="146" t="s">
        <v>36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36"/>
      <c r="O2" s="36"/>
      <c r="P2" s="36"/>
      <c r="Q2" s="36"/>
      <c r="R2" s="36"/>
      <c r="S2" s="36"/>
      <c r="T2" s="36"/>
    </row>
    <row r="3" spans="2:20" x14ac:dyDescent="0.2">
      <c r="B3" s="150" t="s">
        <v>37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36"/>
      <c r="O3" s="36"/>
      <c r="P3" s="36"/>
      <c r="Q3" s="36"/>
      <c r="R3" s="36"/>
      <c r="S3" s="36"/>
      <c r="T3" s="36"/>
    </row>
    <row r="4" spans="2:20" ht="16" thickBot="1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5"/>
      <c r="O4" s="36"/>
      <c r="P4" s="36"/>
      <c r="Q4" s="36"/>
      <c r="R4" s="36"/>
      <c r="S4" s="36"/>
      <c r="T4" s="36"/>
    </row>
    <row r="5" spans="2:20" ht="97" thickTop="1" x14ac:dyDescent="0.2">
      <c r="B5" s="38" t="s">
        <v>38</v>
      </c>
      <c r="C5" s="38" t="s">
        <v>39</v>
      </c>
      <c r="D5" s="38" t="s">
        <v>0</v>
      </c>
      <c r="E5" s="38" t="s">
        <v>1</v>
      </c>
      <c r="F5" s="38" t="s">
        <v>40</v>
      </c>
      <c r="G5" s="38" t="s">
        <v>41</v>
      </c>
      <c r="H5" s="38" t="s">
        <v>42</v>
      </c>
      <c r="I5" s="38" t="s">
        <v>43</v>
      </c>
      <c r="J5" s="38" t="s">
        <v>44</v>
      </c>
      <c r="K5" s="38" t="s">
        <v>45</v>
      </c>
      <c r="L5" s="38" t="s">
        <v>9</v>
      </c>
      <c r="M5" s="38" t="s">
        <v>46</v>
      </c>
      <c r="N5" s="38" t="s">
        <v>89</v>
      </c>
      <c r="O5" s="1" t="s">
        <v>136</v>
      </c>
    </row>
    <row r="6" spans="2:20" x14ac:dyDescent="0.2">
      <c r="B6" s="39" t="s">
        <v>47</v>
      </c>
      <c r="C6" s="40">
        <v>3590.5</v>
      </c>
      <c r="D6" s="40">
        <v>839.7</v>
      </c>
      <c r="E6" s="40">
        <v>731.2</v>
      </c>
      <c r="F6" s="41">
        <v>-4.4774928168564432E-2</v>
      </c>
      <c r="G6" s="41">
        <v>-0.18736088260911632</v>
      </c>
      <c r="H6" s="41">
        <v>-0.21988690920729748</v>
      </c>
      <c r="I6" s="42">
        <v>22.1</v>
      </c>
      <c r="J6" s="43">
        <v>244.64</v>
      </c>
      <c r="K6" s="40">
        <v>3749.5</v>
      </c>
      <c r="L6" s="40">
        <v>1508.1</v>
      </c>
      <c r="M6" s="44">
        <v>2.08</v>
      </c>
      <c r="N6" s="52">
        <f>(I6*J6+K6-L6)/D6</f>
        <v>9.1079480766940559</v>
      </c>
      <c r="O6" s="1">
        <f>K6/D6</f>
        <v>4.4652852209122305</v>
      </c>
    </row>
    <row r="7" spans="2:20" x14ac:dyDescent="0.2">
      <c r="B7" s="39" t="s">
        <v>48</v>
      </c>
      <c r="C7" s="40">
        <v>2114.3000000000002</v>
      </c>
      <c r="D7" s="40">
        <v>133.30000000000001</v>
      </c>
      <c r="E7" s="40">
        <v>67.900000000000006</v>
      </c>
      <c r="F7" s="41">
        <v>-3.2312691656368631E-2</v>
      </c>
      <c r="G7" s="41">
        <v>-0.47082175466454934</v>
      </c>
      <c r="H7" s="41">
        <v>-0.64909560723514215</v>
      </c>
      <c r="I7" s="42">
        <v>22.2</v>
      </c>
      <c r="J7" s="43">
        <v>18.100000000000001</v>
      </c>
      <c r="K7" s="40">
        <v>896</v>
      </c>
      <c r="L7" s="40">
        <v>1.79</v>
      </c>
      <c r="M7" s="44">
        <v>1.83</v>
      </c>
      <c r="N7" s="52">
        <f t="shared" ref="N7:N14" si="0">(I7*J7+K7-L7)/D7</f>
        <v>9.7226556639159778</v>
      </c>
      <c r="O7" s="1">
        <f t="shared" ref="O7:O14" si="1">K7/D7</f>
        <v>6.7216804201050255</v>
      </c>
    </row>
    <row r="8" spans="2:20" x14ac:dyDescent="0.2">
      <c r="B8" s="39" t="s">
        <v>49</v>
      </c>
      <c r="C8" s="40">
        <v>97059</v>
      </c>
      <c r="D8" s="40">
        <v>14201</v>
      </c>
      <c r="E8" s="40">
        <v>12220</v>
      </c>
      <c r="F8" s="41">
        <v>8.40519480519486E-3</v>
      </c>
      <c r="G8" s="41">
        <v>1.6171735241502727E-2</v>
      </c>
      <c r="H8" s="41">
        <v>1.0501943272967829E-2</v>
      </c>
      <c r="I8" s="42">
        <v>592</v>
      </c>
      <c r="J8" s="43">
        <v>203.92</v>
      </c>
      <c r="K8" s="40">
        <v>38082</v>
      </c>
      <c r="L8" s="40">
        <v>1983</v>
      </c>
      <c r="M8" s="44">
        <v>1.07</v>
      </c>
      <c r="N8" s="52">
        <f t="shared" si="0"/>
        <v>11.042858953594818</v>
      </c>
      <c r="O8" s="1">
        <f t="shared" si="1"/>
        <v>2.6816421378776143</v>
      </c>
      <c r="P8" s="1">
        <f>AVERAGE(O6:O14)</f>
        <v>1.2888821051233126</v>
      </c>
      <c r="Q8" s="1" t="s">
        <v>144</v>
      </c>
    </row>
    <row r="9" spans="2:20" x14ac:dyDescent="0.2">
      <c r="B9" s="39" t="s">
        <v>50</v>
      </c>
      <c r="C9" s="40">
        <v>157403</v>
      </c>
      <c r="D9" s="40">
        <v>27014</v>
      </c>
      <c r="E9" s="40">
        <v>24039</v>
      </c>
      <c r="F9" s="41">
        <v>4.1321275230389531E-2</v>
      </c>
      <c r="G9" s="41">
        <v>4.2931047795536914E-2</v>
      </c>
      <c r="H9" s="41">
        <v>4.3359375000000089E-2</v>
      </c>
      <c r="I9" s="42">
        <v>1005.4</v>
      </c>
      <c r="J9" s="43">
        <v>288.39</v>
      </c>
      <c r="K9" s="40">
        <v>50364</v>
      </c>
      <c r="L9" s="40">
        <v>2757</v>
      </c>
      <c r="M9" s="44">
        <v>0.93</v>
      </c>
      <c r="N9" s="52">
        <f t="shared" si="0"/>
        <v>12.495532168505219</v>
      </c>
      <c r="O9" s="1">
        <f t="shared" si="1"/>
        <v>1.8643666247131117</v>
      </c>
    </row>
    <row r="10" spans="2:20" x14ac:dyDescent="0.2">
      <c r="B10" s="39" t="s">
        <v>51</v>
      </c>
      <c r="C10" s="40">
        <v>6210.9</v>
      </c>
      <c r="D10" s="40">
        <v>-612.70000000000005</v>
      </c>
      <c r="E10" s="40">
        <v>-922.6</v>
      </c>
      <c r="F10" s="41">
        <v>-0.26371880742101839</v>
      </c>
      <c r="G10" s="41">
        <v>-2.6234764175940648</v>
      </c>
      <c r="H10" s="41">
        <v>-11.944246737841</v>
      </c>
      <c r="I10" s="42">
        <v>466</v>
      </c>
      <c r="J10" s="43">
        <v>0.26</v>
      </c>
      <c r="K10" s="40">
        <v>3698.7</v>
      </c>
      <c r="L10" s="40">
        <v>153.52000000000001</v>
      </c>
      <c r="M10" s="44">
        <v>1.45</v>
      </c>
      <c r="N10" s="52"/>
      <c r="O10" s="1">
        <f t="shared" si="1"/>
        <v>-6.0367227027909243</v>
      </c>
    </row>
    <row r="11" spans="2:20" x14ac:dyDescent="0.2">
      <c r="B11" s="39" t="s">
        <v>52</v>
      </c>
      <c r="C11" s="40">
        <v>14204.7</v>
      </c>
      <c r="D11" s="40">
        <v>1778</v>
      </c>
      <c r="E11" s="40">
        <v>1434.9</v>
      </c>
      <c r="F11" s="41">
        <v>0.11574805005066335</v>
      </c>
      <c r="G11" s="41">
        <v>0.12752869554188595</v>
      </c>
      <c r="H11" s="41">
        <v>9.8109742098415831E-2</v>
      </c>
      <c r="I11" s="42">
        <v>109.6</v>
      </c>
      <c r="J11" s="43">
        <v>206.32</v>
      </c>
      <c r="K11" s="40">
        <v>4270.2</v>
      </c>
      <c r="L11" s="40">
        <v>202.5</v>
      </c>
      <c r="M11" s="44">
        <v>0.82</v>
      </c>
      <c r="N11" s="52">
        <f t="shared" si="0"/>
        <v>15.005833520809899</v>
      </c>
      <c r="O11" s="1">
        <f t="shared" si="1"/>
        <v>2.4016872890888639</v>
      </c>
    </row>
    <row r="12" spans="2:20" x14ac:dyDescent="0.2">
      <c r="B12" s="39" t="s">
        <v>53</v>
      </c>
      <c r="C12" s="40">
        <v>1929.3</v>
      </c>
      <c r="D12" s="40">
        <v>37.1</v>
      </c>
      <c r="E12" s="40">
        <v>27</v>
      </c>
      <c r="F12" s="41">
        <v>-0.30006530256856778</v>
      </c>
      <c r="G12" s="41">
        <v>-0.69689542483660127</v>
      </c>
      <c r="H12" s="41">
        <v>-0.75697569756975702</v>
      </c>
      <c r="I12" s="42">
        <v>45.2</v>
      </c>
      <c r="J12" s="43">
        <v>18.809999999999999</v>
      </c>
      <c r="K12" s="40">
        <v>46</v>
      </c>
      <c r="L12" s="40">
        <v>371.26</v>
      </c>
      <c r="M12" s="44">
        <v>3.37</v>
      </c>
      <c r="N12" s="52">
        <f t="shared" si="0"/>
        <v>14.149649595687331</v>
      </c>
      <c r="O12" s="1">
        <f t="shared" si="1"/>
        <v>1.2398921832884096</v>
      </c>
    </row>
    <row r="13" spans="2:20" x14ac:dyDescent="0.2">
      <c r="B13" s="39" t="s">
        <v>54</v>
      </c>
      <c r="C13" s="40">
        <v>12218</v>
      </c>
      <c r="D13" s="40">
        <v>-1167</v>
      </c>
      <c r="E13" s="40">
        <v>-1314</v>
      </c>
      <c r="F13" s="41">
        <v>-0.10869565217391308</v>
      </c>
      <c r="G13" s="41">
        <v>-17.913043478260899</v>
      </c>
      <c r="H13" s="41">
        <v>15.024390243902438</v>
      </c>
      <c r="I13" s="42">
        <v>112.3</v>
      </c>
      <c r="J13" s="43">
        <v>43.01</v>
      </c>
      <c r="K13" s="40">
        <v>4155</v>
      </c>
      <c r="L13" s="40">
        <v>1278</v>
      </c>
      <c r="M13" s="44">
        <v>3.01</v>
      </c>
      <c r="N13" s="52"/>
      <c r="O13" s="1">
        <f t="shared" si="1"/>
        <v>-3.5604113110539846</v>
      </c>
    </row>
    <row r="14" spans="2:20" ht="16" x14ac:dyDescent="0.2">
      <c r="B14" s="39" t="s">
        <v>55</v>
      </c>
      <c r="C14" s="40">
        <v>1228.9000000000001</v>
      </c>
      <c r="D14" s="40">
        <v>209.6</v>
      </c>
      <c r="E14" s="40">
        <v>184.7</v>
      </c>
      <c r="F14" s="41">
        <v>0.54210063997992242</v>
      </c>
      <c r="G14" s="41">
        <v>2.1097922848664683</v>
      </c>
      <c r="H14" s="41">
        <v>3.2459770114942526</v>
      </c>
      <c r="I14" s="42">
        <v>140</v>
      </c>
      <c r="J14" s="43">
        <v>6.81</v>
      </c>
      <c r="K14" s="40">
        <v>382</v>
      </c>
      <c r="L14" s="40">
        <v>145.18</v>
      </c>
      <c r="M14" s="44" t="s">
        <v>56</v>
      </c>
      <c r="N14" s="52">
        <f t="shared" si="0"/>
        <v>5.678530534351145</v>
      </c>
      <c r="O14" s="1">
        <f t="shared" si="1"/>
        <v>1.8225190839694656</v>
      </c>
    </row>
    <row r="15" spans="2:20" ht="7.5" customHeight="1" x14ac:dyDescent="0.2">
      <c r="N15" s="53"/>
    </row>
    <row r="16" spans="2:20" s="36" customFormat="1" ht="20.25" customHeight="1" thickBot="1" x14ac:dyDescent="0.2">
      <c r="B16" s="45" t="s">
        <v>57</v>
      </c>
      <c r="C16" s="46">
        <v>8674.4</v>
      </c>
      <c r="D16" s="46">
        <v>1728.2</v>
      </c>
      <c r="E16" s="46">
        <v>1514</v>
      </c>
      <c r="F16" s="47">
        <v>5.1965219078572433E-2</v>
      </c>
      <c r="G16" s="47">
        <v>4.7902013097259166E-2</v>
      </c>
      <c r="H16" s="47">
        <v>4.1910398458468112E-2</v>
      </c>
      <c r="I16" s="48">
        <v>64.2</v>
      </c>
      <c r="J16" s="49">
        <v>113.94</v>
      </c>
      <c r="K16" s="46">
        <v>1443.7</v>
      </c>
      <c r="L16" s="46">
        <v>367.34</v>
      </c>
      <c r="M16" s="50">
        <v>1.59</v>
      </c>
      <c r="N16" s="54">
        <f>(I16*J16+K16)/D16</f>
        <v>5.0680754542298354</v>
      </c>
    </row>
    <row r="17" spans="2:13" ht="16" thickTop="1" x14ac:dyDescent="0.2">
      <c r="B17" s="39"/>
      <c r="C17" s="40"/>
      <c r="D17" s="40"/>
      <c r="E17" s="40"/>
      <c r="F17" s="41"/>
      <c r="G17" s="41"/>
      <c r="H17" s="41"/>
      <c r="I17" s="42"/>
      <c r="J17" s="43"/>
      <c r="K17" s="40"/>
      <c r="L17" s="40"/>
      <c r="M17" s="44"/>
    </row>
    <row r="18" spans="2:13" x14ac:dyDescent="0.2">
      <c r="B18" s="51" t="s">
        <v>58</v>
      </c>
    </row>
    <row r="19" spans="2:13" x14ac:dyDescent="0.2">
      <c r="B19" s="51" t="s">
        <v>59</v>
      </c>
    </row>
    <row r="20" spans="2:13" x14ac:dyDescent="0.2">
      <c r="B20" s="2" t="s">
        <v>60</v>
      </c>
    </row>
    <row r="21" spans="2:13" x14ac:dyDescent="0.2">
      <c r="B21" s="36"/>
    </row>
    <row r="22" spans="2:13" x14ac:dyDescent="0.2">
      <c r="B22" s="2" t="s">
        <v>61</v>
      </c>
    </row>
  </sheetData>
  <mergeCells count="3">
    <mergeCell ref="B1:M1"/>
    <mergeCell ref="B2:M2"/>
    <mergeCell ref="B3:M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40c23d-d20f-405c-b1e1-9ed7d2ff1c5f">
      <Terms xmlns="http://schemas.microsoft.com/office/infopath/2007/PartnerControls"/>
    </lcf76f155ced4ddcb4097134ff3c332f>
    <TaxCatchAll xmlns="228c7561-c4e0-41f6-911a-1185116220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F792F8D65604CB074370CEA835510" ma:contentTypeVersion="18" ma:contentTypeDescription="Create a new document." ma:contentTypeScope="" ma:versionID="c177c3889a8353f00a7dd1dabf14dcd0">
  <xsd:schema xmlns:xsd="http://www.w3.org/2001/XMLSchema" xmlns:xs="http://www.w3.org/2001/XMLSchema" xmlns:p="http://schemas.microsoft.com/office/2006/metadata/properties" xmlns:ns2="7040c23d-d20f-405c-b1e1-9ed7d2ff1c5f" xmlns:ns3="228c7561-c4e0-41f6-911a-1185116220b2" targetNamespace="http://schemas.microsoft.com/office/2006/metadata/properties" ma:root="true" ma:fieldsID="ed81aacb2560594c39c9659d4f341aa6" ns2:_="" ns3:_="">
    <xsd:import namespace="7040c23d-d20f-405c-b1e1-9ed7d2ff1c5f"/>
    <xsd:import namespace="228c7561-c4e0-41f6-911a-1185116220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0c23d-d20f-405c-b1e1-9ed7d2ff1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f802e18-79f9-49a4-b541-8cb121360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c7561-c4e0-41f6-911a-1185116220b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9eda082-e39b-45d7-a19d-211c6ef9b62d}" ma:internalName="TaxCatchAll" ma:showField="CatchAllData" ma:web="228c7561-c4e0-41f6-911a-1185116220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2F0BD6-1806-40A6-888C-CB75DC208F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730A14-B0BF-412D-A48C-F76550EC2DD1}">
  <ds:schemaRefs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5f305e24-4878-4147-904c-f04b8958a896"/>
    <ds:schemaRef ds:uri="35e09d93-1b66-4974-90e1-751c95075bae"/>
    <ds:schemaRef ds:uri="7040c23d-d20f-405c-b1e1-9ed7d2ff1c5f"/>
    <ds:schemaRef ds:uri="228c7561-c4e0-41f6-911a-1185116220b2"/>
  </ds:schemaRefs>
</ds:datastoreItem>
</file>

<file path=customXml/itemProps3.xml><?xml version="1.0" encoding="utf-8"?>
<ds:datastoreItem xmlns:ds="http://schemas.openxmlformats.org/officeDocument/2006/customXml" ds:itemID="{53F5489C-7553-4CCC-816C-5556BD440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0c23d-d20f-405c-b1e1-9ed7d2ff1c5f"/>
    <ds:schemaRef ds:uri="228c7561-c4e0-41f6-911a-1185116220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4a9d69c-39a9-4e4e-a6bb-d4e0084643a4}" enabled="0" method="" siteId="{54a9d69c-39a9-4e4e-a6bb-d4e0084643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LBO Model Base Case</vt:lpstr>
      <vt:lpstr>LBO Model- OPTIMAL CASE</vt:lpstr>
      <vt:lpstr>LBO Model- 4x Debt A</vt:lpstr>
      <vt:lpstr>LBO Model- 3x Debt A</vt:lpstr>
      <vt:lpstr>Hayden Notes</vt:lpstr>
      <vt:lpstr>Ex 10 Projections</vt:lpstr>
      <vt:lpstr>Ex 11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Meredith, Jonathan</dc:creator>
  <cp:lastModifiedBy>Luke Buddie</cp:lastModifiedBy>
  <cp:lastPrinted>2021-10-03T20:59:28Z</cp:lastPrinted>
  <dcterms:created xsi:type="dcterms:W3CDTF">2013-03-31T17:42:56Z</dcterms:created>
  <dcterms:modified xsi:type="dcterms:W3CDTF">2025-12-19T19:52:10Z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0x010100F4880AD0D53E43488DF4D1D5CE5ABC15</vt:lpwstr>
  </property>
  <property fmtid="{D5CDD505-2E9C-101B-9397-08002B2CF9AE}" pid="3" name="UploadMode">
    <vt:lpwstr>Manual</vt:lpwstr>
  </property>
</Properties>
</file>