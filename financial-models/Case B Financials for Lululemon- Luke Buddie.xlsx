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buddie/Downloads/"/>
    </mc:Choice>
  </mc:AlternateContent>
  <xr:revisionPtr revIDLastSave="0" documentId="8_{A174ABC9-0613-4043-BAFD-136B032F2A6F}" xr6:coauthVersionLast="47" xr6:coauthVersionMax="47" xr10:uidLastSave="{00000000-0000-0000-0000-000000000000}"/>
  <bookViews>
    <workbookView xWindow="340" yWindow="600" windowWidth="28780" windowHeight="16000" xr2:uid="{78EDFC66-60F2-B74E-B425-A5F06DE1B270}"/>
  </bookViews>
  <sheets>
    <sheet name="Income Statement" sheetId="2" r:id="rId1"/>
    <sheet name="Balance Sheet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2" l="1"/>
  <c r="J8" i="2"/>
  <c r="J19" i="2"/>
  <c r="K20" i="2"/>
  <c r="J20" i="2"/>
  <c r="E32" i="2"/>
  <c r="M14" i="2"/>
  <c r="K17" i="2"/>
  <c r="L17" i="2"/>
  <c r="M17" i="2"/>
  <c r="B5" i="1"/>
  <c r="B16" i="1"/>
  <c r="C36" i="2"/>
  <c r="D16" i="1"/>
  <c r="C16" i="1"/>
  <c r="K25" i="2"/>
  <c r="L25" i="2"/>
  <c r="M25" i="2"/>
  <c r="K22" i="2"/>
  <c r="M22" i="2"/>
  <c r="K23" i="2"/>
  <c r="L23" i="2"/>
  <c r="M23" i="2"/>
  <c r="D6" i="1"/>
  <c r="C6" i="1"/>
  <c r="L22" i="2"/>
  <c r="K21" i="2"/>
  <c r="L21" i="2"/>
  <c r="M21" i="2"/>
  <c r="L20" i="2"/>
  <c r="M20" i="2"/>
  <c r="K19" i="2"/>
  <c r="L19" i="2"/>
  <c r="M19" i="2"/>
  <c r="L8" i="2"/>
  <c r="K8" i="2"/>
  <c r="B6" i="2"/>
  <c r="J23" i="2" l="1"/>
  <c r="B11" i="2" s="1"/>
  <c r="J21" i="2"/>
  <c r="B14" i="2" s="1"/>
  <c r="J22" i="2"/>
  <c r="B7" i="2"/>
  <c r="B8" i="2" s="1"/>
  <c r="J14" i="2" s="1"/>
  <c r="J15" i="2" s="1"/>
  <c r="J25" i="2"/>
  <c r="B15" i="2" s="1"/>
  <c r="B9" i="2"/>
  <c r="C31" i="2"/>
  <c r="E38" i="2"/>
  <c r="E39" i="2" s="1"/>
  <c r="D38" i="2"/>
  <c r="C38" i="2"/>
  <c r="E35" i="2"/>
  <c r="E36" i="2" s="1"/>
  <c r="D35" i="2"/>
  <c r="D36" i="2" s="1"/>
  <c r="C35" i="2"/>
  <c r="E31" i="2"/>
  <c r="D31" i="2"/>
  <c r="D24" i="1"/>
  <c r="C24" i="1"/>
  <c r="B24" i="1"/>
  <c r="D35" i="1"/>
  <c r="D38" i="1" s="1"/>
  <c r="C35" i="1"/>
  <c r="C38" i="1" s="1"/>
  <c r="B35" i="1"/>
  <c r="B38" i="1" s="1"/>
  <c r="C14" i="1"/>
  <c r="B14" i="1"/>
  <c r="D14" i="1"/>
  <c r="D17" i="1" s="1"/>
  <c r="D4" i="1"/>
  <c r="D5" i="1" s="1"/>
  <c r="C4" i="1"/>
  <c r="C5" i="1" s="1"/>
  <c r="B4" i="1"/>
  <c r="B13" i="2" l="1"/>
  <c r="B16" i="2"/>
  <c r="B17" i="2" s="1"/>
  <c r="D32" i="2"/>
  <c r="L14" i="2"/>
  <c r="K14" i="2"/>
  <c r="C32" i="2"/>
  <c r="C17" i="1"/>
  <c r="D39" i="2"/>
  <c r="C39" i="2"/>
  <c r="K15" i="2" l="1"/>
  <c r="L15" i="2"/>
  <c r="J17" i="2"/>
</calcChain>
</file>

<file path=xl/sharedStrings.xml><?xml version="1.0" encoding="utf-8"?>
<sst xmlns="http://schemas.openxmlformats.org/spreadsheetml/2006/main" count="124" uniqueCount="116">
  <si>
    <t>Revenue (000)</t>
  </si>
  <si>
    <t>Gross Profit (000)</t>
  </si>
  <si>
    <t>COGS (000)</t>
  </si>
  <si>
    <t>Gross Margin (%)</t>
  </si>
  <si>
    <t>EBIT (000)</t>
  </si>
  <si>
    <t>Income</t>
  </si>
  <si>
    <t>Interest Expense</t>
  </si>
  <si>
    <t>Tax Expense</t>
  </si>
  <si>
    <t>Quick Ratio</t>
  </si>
  <si>
    <t>Cash and Cash Equivilents</t>
  </si>
  <si>
    <t>Current Assets</t>
  </si>
  <si>
    <t>Accounts Recevable</t>
  </si>
  <si>
    <t>Inventories</t>
  </si>
  <si>
    <t>Prepaid Expenses</t>
  </si>
  <si>
    <t>Current Liabilities</t>
  </si>
  <si>
    <t>EBIT Margin</t>
  </si>
  <si>
    <t>Sales Growth</t>
  </si>
  <si>
    <t>Revenue (Current year)</t>
  </si>
  <si>
    <t>Revenue Previous Year</t>
  </si>
  <si>
    <t>Year</t>
  </si>
  <si>
    <t>CONSOLIDATED STATEMENTS OF OPERATIONS AND COMPREHENSIVE INCOME - USD ($)</t>
  </si>
  <si>
    <t>shares in Thousands, $ in Thousands</t>
  </si>
  <si>
    <t>12 Months Ended</t>
  </si>
  <si>
    <t>Net revenue</t>
  </si>
  <si>
    <t>Cost of goods sold</t>
  </si>
  <si>
    <t>Gross profit</t>
  </si>
  <si>
    <t>Selling, general and administrative expenses</t>
  </si>
  <si>
    <t>Income from operations</t>
  </si>
  <si>
    <t>Income before income tax expense</t>
  </si>
  <si>
    <t>Income tax expense</t>
  </si>
  <si>
    <t>Net income</t>
  </si>
  <si>
    <t>Foreign currency translation adjustment</t>
  </si>
  <si>
    <t>Comprehensive income</t>
  </si>
  <si>
    <t>Basic earnings per share (in dollars per share)</t>
  </si>
  <si>
    <t>Diluted earnings per share (in dollars per share)</t>
  </si>
  <si>
    <t>Feb. 02, 2025</t>
  </si>
  <si>
    <t>Jan. 28, 2024</t>
  </si>
  <si>
    <t>Jan. 29, 2023</t>
  </si>
  <si>
    <t>Impairment of goodwill and other assets, restructuring costs</t>
  </si>
  <si>
    <t>Amortization of intangible assets</t>
  </si>
  <si>
    <t>Gain on disposal of assets</t>
  </si>
  <si>
    <t>Other income (expense), net</t>
  </si>
  <si>
    <t>Other comprehensive income (loss), net of tax:</t>
  </si>
  <si>
    <t>Net investment hedge gains (losses)</t>
  </si>
  <si>
    <t>Other comprehensive income (loss), net of tax</t>
  </si>
  <si>
    <t>Basic weighted-average number of shares outstanding (in shares)</t>
  </si>
  <si>
    <t>Diluted weighted-average number of shares outstanding (in shares)</t>
  </si>
  <si>
    <t>Column1</t>
  </si>
  <si>
    <t>Column2</t>
  </si>
  <si>
    <t>Column3</t>
  </si>
  <si>
    <t>Column4</t>
  </si>
  <si>
    <t>Column12</t>
  </si>
  <si>
    <t>2026E</t>
  </si>
  <si>
    <t>Gross Profit</t>
  </si>
  <si>
    <t>EBIT</t>
  </si>
  <si>
    <t>Sales</t>
  </si>
  <si>
    <t>Sales Growth (%)</t>
  </si>
  <si>
    <t>EBIT Margin (%)</t>
  </si>
  <si>
    <t>Gross Margin</t>
  </si>
  <si>
    <t>Assumptions</t>
  </si>
  <si>
    <t>I/S Assumptions</t>
  </si>
  <si>
    <t>Gross Margin Growth</t>
  </si>
  <si>
    <t>Operating Expenses/Sales</t>
  </si>
  <si>
    <t>Historical Results</t>
  </si>
  <si>
    <t>-</t>
  </si>
  <si>
    <t>Forecast Period</t>
  </si>
  <si>
    <t>Sales Growth (forecast)</t>
  </si>
  <si>
    <t>Sales Growth (average)</t>
  </si>
  <si>
    <t>Sales Growth (my estimate with management's projection in mind)</t>
  </si>
  <si>
    <t>CONSOLIDATED BALANCE SHEETS - USD ($)</t>
  </si>
  <si>
    <t>$ in Thousands</t>
  </si>
  <si>
    <t>Current assets</t>
  </si>
  <si>
    <t>Cash and cash equivalents</t>
  </si>
  <si>
    <t>Accounts receivable, net</t>
  </si>
  <si>
    <t>Prepaid and receivable income taxes</t>
  </si>
  <si>
    <t>Prepaid expenses and other current assets</t>
  </si>
  <si>
    <t>Total current assets</t>
  </si>
  <si>
    <t>Property and equipment, net</t>
  </si>
  <si>
    <t>Right-of-use lease assets</t>
  </si>
  <si>
    <t>Goodwill</t>
  </si>
  <si>
    <t>Intangible assets, net</t>
  </si>
  <si>
    <t>Deferred income tax assets</t>
  </si>
  <si>
    <t>Other non-current assets</t>
  </si>
  <si>
    <t>Total assets</t>
  </si>
  <si>
    <t>Current liabilities</t>
  </si>
  <si>
    <t>Accounts payable</t>
  </si>
  <si>
    <t>Accrued liabilities and other</t>
  </si>
  <si>
    <t>Accrued compensation and related expenses</t>
  </si>
  <si>
    <t>Current lease liabilities</t>
  </si>
  <si>
    <t>Current income taxes payable</t>
  </si>
  <si>
    <t>Unredeemed gift card liability</t>
  </si>
  <si>
    <t>Other current liabilities</t>
  </si>
  <si>
    <t>Total current liabilities</t>
  </si>
  <si>
    <t>Non-current lease liabilities</t>
  </si>
  <si>
    <t>Non-current income taxes payable</t>
  </si>
  <si>
    <t>Deferred income tax liabilities</t>
  </si>
  <si>
    <t>Other non-current liabilities</t>
  </si>
  <si>
    <t>Total liabilities</t>
  </si>
  <si>
    <t>Commitments and contingencies</t>
  </si>
  <si>
    <t>Stockholders' equity</t>
  </si>
  <si>
    <t>Undesignated preferred stock, $0.01 par value: 5,000 shares authorized; none issued and outstanding</t>
  </si>
  <si>
    <t>Exchangeable stock, no par value: 60,000 shares authorized; 5,116 and 5,116 issued and outstanding</t>
  </si>
  <si>
    <t>Special voting stock, $0.000005 par value: 60,000 shares authorized; 5,116 and 5,116 issued and outstanding</t>
  </si>
  <si>
    <t>Common stock, $0.005 par value: 400,000 shares authorized; 116,166 and 121,106 issued and outstanding</t>
  </si>
  <si>
    <t>Additional paid-in capital</t>
  </si>
  <si>
    <t>Retained earnings</t>
  </si>
  <si>
    <t>Accumulated other comprehensive loss</t>
  </si>
  <si>
    <t>Total stockholders' equity</t>
  </si>
  <si>
    <t>Total liabilities and stockholders' equity</t>
  </si>
  <si>
    <t>Other Income (Expenses), net</t>
  </si>
  <si>
    <t>EBIT Margin Growth</t>
  </si>
  <si>
    <t>Amortization of Intangible Assets/Sales (based on first quarter numbers of 1,730)</t>
  </si>
  <si>
    <t>Tax Rate (Based on forecasted income before tax rate below)</t>
  </si>
  <si>
    <t>Income Before Tax rate forecast</t>
  </si>
  <si>
    <t>COGS/Sales (Expected higher than forecasted/averaged because of tariffs)</t>
  </si>
  <si>
    <t>Proected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</si>
</sst>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%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b/>
      <sz val="8"/>
      <color rgb="FF000000"/>
      <name val="Helvetica"/>
      <family val="2"/>
    </font>
    <font>
      <sz val="8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i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6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3" fontId="0" fillId="0" borderId="0" xfId="0" applyNumberFormat="1"/>
    <xf numFmtId="3" fontId="0" fillId="0" borderId="1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2" fillId="0" borderId="0" xfId="1" applyNumberFormat="1" applyFont="1" applyFill="1" applyBorder="1"/>
    <xf numFmtId="164" fontId="2" fillId="0" borderId="0" xfId="1" applyNumberFormat="1" applyFont="1"/>
    <xf numFmtId="3" fontId="2" fillId="0" borderId="0" xfId="0" applyNumberFormat="1" applyFont="1"/>
    <xf numFmtId="3" fontId="2" fillId="0" borderId="6" xfId="0" applyNumberFormat="1" applyFont="1" applyBorder="1"/>
    <xf numFmtId="3" fontId="3" fillId="0" borderId="9" xfId="0" applyNumberFormat="1" applyFont="1" applyBorder="1"/>
    <xf numFmtId="3" fontId="3" fillId="0" borderId="10" xfId="0" applyNumberFormat="1" applyFont="1" applyBorder="1"/>
    <xf numFmtId="3" fontId="3" fillId="0" borderId="0" xfId="0" applyNumberFormat="1" applyFont="1"/>
    <xf numFmtId="2" fontId="2" fillId="0" borderId="0" xfId="1" applyNumberFormat="1" applyFont="1" applyBorder="1"/>
    <xf numFmtId="3" fontId="0" fillId="0" borderId="11" xfId="0" applyNumberFormat="1" applyBorder="1"/>
    <xf numFmtId="10" fontId="2" fillId="0" borderId="0" xfId="1" applyNumberFormat="1" applyFont="1" applyBorder="1"/>
    <xf numFmtId="0" fontId="0" fillId="0" borderId="12" xfId="0" applyBorder="1"/>
    <xf numFmtId="0" fontId="5" fillId="0" borderId="0" xfId="0" applyFont="1"/>
    <xf numFmtId="0" fontId="7" fillId="0" borderId="0" xfId="2"/>
    <xf numFmtId="0" fontId="6" fillId="0" borderId="0" xfId="0" applyFont="1"/>
    <xf numFmtId="6" fontId="0" fillId="0" borderId="0" xfId="0" applyNumberFormat="1"/>
    <xf numFmtId="6" fontId="6" fillId="0" borderId="0" xfId="0" applyNumberFormat="1" applyFont="1"/>
    <xf numFmtId="3" fontId="6" fillId="0" borderId="0" xfId="0" applyNumberFormat="1" applyFont="1"/>
    <xf numFmtId="8" fontId="6" fillId="0" borderId="0" xfId="0" applyNumberFormat="1" applyFont="1"/>
    <xf numFmtId="0" fontId="0" fillId="0" borderId="13" xfId="0" applyBorder="1"/>
    <xf numFmtId="0" fontId="0" fillId="2" borderId="13" xfId="0" applyFill="1" applyBorder="1"/>
    <xf numFmtId="0" fontId="2" fillId="0" borderId="0" xfId="0" applyFont="1"/>
    <xf numFmtId="3" fontId="5" fillId="0" borderId="0" xfId="0" applyNumberFormat="1" applyFont="1"/>
    <xf numFmtId="0" fontId="5" fillId="2" borderId="14" xfId="0" applyFont="1" applyFill="1" applyBorder="1"/>
    <xf numFmtId="0" fontId="0" fillId="0" borderId="1" xfId="0" applyBorder="1"/>
    <xf numFmtId="164" fontId="2" fillId="0" borderId="0" xfId="1" applyNumberFormat="1" applyFont="1" applyBorder="1"/>
    <xf numFmtId="164" fontId="0" fillId="0" borderId="0" xfId="1" applyNumberFormat="1" applyFont="1" applyBorder="1"/>
    <xf numFmtId="164" fontId="0" fillId="0" borderId="0" xfId="1" applyNumberFormat="1" applyFont="1"/>
    <xf numFmtId="10" fontId="0" fillId="0" borderId="0" xfId="1" applyNumberFormat="1" applyFont="1" applyBorder="1"/>
    <xf numFmtId="9" fontId="2" fillId="0" borderId="0" xfId="1" applyFont="1" applyBorder="1"/>
    <xf numFmtId="0" fontId="9" fillId="0" borderId="0" xfId="0" applyFont="1"/>
    <xf numFmtId="0" fontId="5" fillId="0" borderId="1" xfId="0" applyFont="1" applyBorder="1"/>
    <xf numFmtId="164" fontId="0" fillId="0" borderId="0" xfId="0" applyNumberFormat="1"/>
    <xf numFmtId="164" fontId="2" fillId="3" borderId="0" xfId="1" applyNumberFormat="1" applyFont="1" applyFill="1" applyBorder="1"/>
    <xf numFmtId="164" fontId="0" fillId="3" borderId="0" xfId="0" applyNumberFormat="1" applyFill="1"/>
    <xf numFmtId="6" fontId="6" fillId="3" borderId="0" xfId="0" applyNumberFormat="1" applyFont="1" applyFill="1"/>
    <xf numFmtId="3" fontId="6" fillId="4" borderId="0" xfId="0" applyNumberFormat="1" applyFont="1" applyFill="1"/>
    <xf numFmtId="164" fontId="0" fillId="4" borderId="0" xfId="0" applyNumberFormat="1" applyFill="1"/>
    <xf numFmtId="164" fontId="0" fillId="5" borderId="0" xfId="0" applyNumberFormat="1" applyFill="1"/>
    <xf numFmtId="3" fontId="6" fillId="5" borderId="0" xfId="0" applyNumberFormat="1" applyFont="1" applyFill="1"/>
    <xf numFmtId="0" fontId="5" fillId="2" borderId="13" xfId="0" applyFont="1" applyFill="1" applyBorder="1"/>
    <xf numFmtId="0" fontId="5" fillId="0" borderId="13" xfId="0" applyFont="1" applyBorder="1"/>
    <xf numFmtId="0" fontId="4" fillId="2" borderId="13" xfId="0" applyFont="1" applyFill="1" applyBorder="1"/>
    <xf numFmtId="0" fontId="4" fillId="0" borderId="13" xfId="0" applyFont="1" applyBorder="1"/>
    <xf numFmtId="0" fontId="7" fillId="2" borderId="13" xfId="2" applyFill="1" applyBorder="1"/>
    <xf numFmtId="164" fontId="0" fillId="6" borderId="0" xfId="1" applyNumberFormat="1" applyFont="1" applyFill="1"/>
    <xf numFmtId="2" fontId="0" fillId="0" borderId="0" xfId="1" applyNumberFormat="1" applyFont="1"/>
    <xf numFmtId="10" fontId="0" fillId="0" borderId="0" xfId="1" applyNumberFormat="1" applyFont="1"/>
    <xf numFmtId="10" fontId="0" fillId="7" borderId="0" xfId="1" applyNumberFormat="1" applyFont="1" applyFill="1"/>
    <xf numFmtId="3" fontId="6" fillId="7" borderId="0" xfId="0" applyNumberFormat="1" applyFont="1" applyFill="1"/>
    <xf numFmtId="164" fontId="0" fillId="8" borderId="0" xfId="1" applyNumberFormat="1" applyFont="1" applyFill="1"/>
    <xf numFmtId="3" fontId="6" fillId="8" borderId="0" xfId="0" applyNumberFormat="1" applyFont="1" applyFill="1"/>
    <xf numFmtId="164" fontId="0" fillId="9" borderId="0" xfId="1" applyNumberFormat="1" applyFont="1" applyFill="1"/>
    <xf numFmtId="6" fontId="6" fillId="9" borderId="0" xfId="0" applyNumberFormat="1" applyFont="1" applyFill="1"/>
    <xf numFmtId="3" fontId="6" fillId="10" borderId="0" xfId="0" applyNumberFormat="1" applyFont="1" applyFill="1"/>
    <xf numFmtId="3" fontId="0" fillId="10" borderId="0" xfId="0" applyNumberFormat="1" applyFill="1"/>
    <xf numFmtId="3" fontId="6" fillId="6" borderId="0" xfId="0" applyNumberFormat="1" applyFont="1" applyFill="1"/>
    <xf numFmtId="0" fontId="0" fillId="0" borderId="0" xfId="0"/>
    <xf numFmtId="0" fontId="5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A6BA2B-D2F5-DB48-9BFC-30660FB0BBCC}" name="Table1" displayName="Table1" ref="A1:E28" totalsRowShown="0">
  <autoFilter ref="A1:E28" xr:uid="{12A6BA2B-D2F5-DB48-9BFC-30660FB0BBCC}"/>
  <tableColumns count="5">
    <tableColumn id="1" xr3:uid="{3B8090DB-7E7E-6147-97B4-A0D2A1E27004}" name="Column1" dataCellStyle="Hyperlink"/>
    <tableColumn id="6" xr3:uid="{EA6675A8-4586-BC41-8BE9-BFF69F422AA3}" name="Column12"/>
    <tableColumn id="2" xr3:uid="{49606541-17C2-3D42-9270-201A81DA9AAD}" name="Column2"/>
    <tableColumn id="3" xr3:uid="{1317B739-BB95-A540-9AF5-088F8EE23F75}" name="Column3"/>
    <tableColumn id="4" xr3:uid="{6CA3F76F-D221-9940-B025-F80BDF5D1ECD}" name="Column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;" TargetMode="External"/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javascript:void(0);" TargetMode="External"/><Relationship Id="rId18" Type="http://schemas.openxmlformats.org/officeDocument/2006/relationships/hyperlink" Target="javascript:void(0);" TargetMode="External"/><Relationship Id="rId26" Type="http://schemas.openxmlformats.org/officeDocument/2006/relationships/hyperlink" Target="javascript:void(0);" TargetMode="External"/><Relationship Id="rId39" Type="http://schemas.openxmlformats.org/officeDocument/2006/relationships/hyperlink" Target="javascript:void(0);" TargetMode="External"/><Relationship Id="rId21" Type="http://schemas.openxmlformats.org/officeDocument/2006/relationships/hyperlink" Target="javascript:void(0);" TargetMode="External"/><Relationship Id="rId34" Type="http://schemas.openxmlformats.org/officeDocument/2006/relationships/hyperlink" Target="javascript:void(0);" TargetMode="External"/><Relationship Id="rId7" Type="http://schemas.openxmlformats.org/officeDocument/2006/relationships/hyperlink" Target="javascript:void(0);" TargetMode="External"/><Relationship Id="rId12" Type="http://schemas.openxmlformats.org/officeDocument/2006/relationships/hyperlink" Target="javascript:void(0);" TargetMode="External"/><Relationship Id="rId17" Type="http://schemas.openxmlformats.org/officeDocument/2006/relationships/hyperlink" Target="javascript:void(0);" TargetMode="External"/><Relationship Id="rId25" Type="http://schemas.openxmlformats.org/officeDocument/2006/relationships/hyperlink" Target="javascript:void(0);" TargetMode="External"/><Relationship Id="rId33" Type="http://schemas.openxmlformats.org/officeDocument/2006/relationships/hyperlink" Target="javascript:void(0);" TargetMode="External"/><Relationship Id="rId38" Type="http://schemas.openxmlformats.org/officeDocument/2006/relationships/hyperlink" Target="javascript:void(0);" TargetMode="External"/><Relationship Id="rId2" Type="http://schemas.openxmlformats.org/officeDocument/2006/relationships/hyperlink" Target="javascript:void(0);" TargetMode="External"/><Relationship Id="rId16" Type="http://schemas.openxmlformats.org/officeDocument/2006/relationships/hyperlink" Target="javascript:void(0);" TargetMode="External"/><Relationship Id="rId20" Type="http://schemas.openxmlformats.org/officeDocument/2006/relationships/hyperlink" Target="javascript:void(0);" TargetMode="External"/><Relationship Id="rId29" Type="http://schemas.openxmlformats.org/officeDocument/2006/relationships/hyperlink" Target="javascript:void(0);" TargetMode="External"/><Relationship Id="rId1" Type="http://schemas.openxmlformats.org/officeDocument/2006/relationships/hyperlink" Target="javascript:void(0);" TargetMode="External"/><Relationship Id="rId6" Type="http://schemas.openxmlformats.org/officeDocument/2006/relationships/hyperlink" Target="javascript:void(0);" TargetMode="External"/><Relationship Id="rId11" Type="http://schemas.openxmlformats.org/officeDocument/2006/relationships/hyperlink" Target="javascript:void(0);" TargetMode="External"/><Relationship Id="rId24" Type="http://schemas.openxmlformats.org/officeDocument/2006/relationships/hyperlink" Target="javascript:void(0);" TargetMode="External"/><Relationship Id="rId32" Type="http://schemas.openxmlformats.org/officeDocument/2006/relationships/hyperlink" Target="javascript:void(0);" TargetMode="External"/><Relationship Id="rId37" Type="http://schemas.openxmlformats.org/officeDocument/2006/relationships/hyperlink" Target="javascript:void(0);" TargetMode="External"/><Relationship Id="rId5" Type="http://schemas.openxmlformats.org/officeDocument/2006/relationships/hyperlink" Target="javascript:void(0);" TargetMode="External"/><Relationship Id="rId15" Type="http://schemas.openxmlformats.org/officeDocument/2006/relationships/hyperlink" Target="javascript:void(0);" TargetMode="External"/><Relationship Id="rId23" Type="http://schemas.openxmlformats.org/officeDocument/2006/relationships/hyperlink" Target="javascript:void(0);" TargetMode="External"/><Relationship Id="rId28" Type="http://schemas.openxmlformats.org/officeDocument/2006/relationships/hyperlink" Target="javascript:void(0);" TargetMode="External"/><Relationship Id="rId36" Type="http://schemas.openxmlformats.org/officeDocument/2006/relationships/hyperlink" Target="javascript:void(0);" TargetMode="External"/><Relationship Id="rId10" Type="http://schemas.openxmlformats.org/officeDocument/2006/relationships/hyperlink" Target="javascript:void(0);" TargetMode="External"/><Relationship Id="rId19" Type="http://schemas.openxmlformats.org/officeDocument/2006/relationships/hyperlink" Target="javascript:void(0);" TargetMode="External"/><Relationship Id="rId31" Type="http://schemas.openxmlformats.org/officeDocument/2006/relationships/hyperlink" Target="javascript:void(0);" TargetMode="External"/><Relationship Id="rId4" Type="http://schemas.openxmlformats.org/officeDocument/2006/relationships/hyperlink" Target="javascript:void(0);" TargetMode="External"/><Relationship Id="rId9" Type="http://schemas.openxmlformats.org/officeDocument/2006/relationships/hyperlink" Target="javascript:void(0);" TargetMode="External"/><Relationship Id="rId14" Type="http://schemas.openxmlformats.org/officeDocument/2006/relationships/hyperlink" Target="javascript:void(0);" TargetMode="External"/><Relationship Id="rId22" Type="http://schemas.openxmlformats.org/officeDocument/2006/relationships/hyperlink" Target="javascript:void(0);" TargetMode="External"/><Relationship Id="rId27" Type="http://schemas.openxmlformats.org/officeDocument/2006/relationships/hyperlink" Target="javascript:void(0);" TargetMode="External"/><Relationship Id="rId30" Type="http://schemas.openxmlformats.org/officeDocument/2006/relationships/hyperlink" Target="javascript:void(0);" TargetMode="External"/><Relationship Id="rId35" Type="http://schemas.openxmlformats.org/officeDocument/2006/relationships/hyperlink" Target="javascript:void(0);" TargetMode="External"/><Relationship Id="rId8" Type="http://schemas.openxmlformats.org/officeDocument/2006/relationships/hyperlink" Target="javascript:void(0);" TargetMode="External"/><Relationship Id="rId3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AF93D-B283-0E48-A4A1-DE6C52E65EE6}">
  <dimension ref="A1:M41"/>
  <sheetViews>
    <sheetView showGridLines="0" tabSelected="1" workbookViewId="0">
      <selection activeCell="J13" sqref="J13"/>
    </sheetView>
  </sheetViews>
  <sheetFormatPr baseColWidth="10" defaultRowHeight="16" x14ac:dyDescent="0.2"/>
  <cols>
    <col min="1" max="1" width="60.33203125" bestFit="1" customWidth="1"/>
    <col min="2" max="2" width="14" bestFit="1" customWidth="1"/>
    <col min="3" max="4" width="11" customWidth="1"/>
    <col min="8" max="8" width="61.33203125" bestFit="1" customWidth="1"/>
    <col min="10" max="10" width="14" bestFit="1" customWidth="1"/>
    <col min="11" max="11" width="16.33203125" bestFit="1" customWidth="1"/>
    <col min="15" max="15" width="15.5" bestFit="1" customWidth="1"/>
  </cols>
  <sheetData>
    <row r="1" spans="1:13" x14ac:dyDescent="0.2">
      <c r="A1" s="20" t="s">
        <v>47</v>
      </c>
      <c r="B1" s="20" t="s">
        <v>51</v>
      </c>
      <c r="C1" s="20" t="s">
        <v>48</v>
      </c>
      <c r="D1" t="s">
        <v>49</v>
      </c>
      <c r="E1" t="s">
        <v>50</v>
      </c>
    </row>
    <row r="2" spans="1:13" x14ac:dyDescent="0.2">
      <c r="A2" s="20" t="s">
        <v>20</v>
      </c>
      <c r="B2" s="20"/>
      <c r="C2" s="20" t="s">
        <v>22</v>
      </c>
    </row>
    <row r="3" spans="1:13" x14ac:dyDescent="0.2">
      <c r="A3" s="20" t="s">
        <v>21</v>
      </c>
      <c r="B3" s="20" t="s">
        <v>115</v>
      </c>
      <c r="C3" s="20"/>
    </row>
    <row r="4" spans="1:13" x14ac:dyDescent="0.2">
      <c r="A4" s="20"/>
      <c r="B4" s="20" t="s">
        <v>52</v>
      </c>
      <c r="C4" s="20" t="s">
        <v>35</v>
      </c>
      <c r="D4" s="31" t="s">
        <v>36</v>
      </c>
      <c r="E4" s="31" t="s">
        <v>37</v>
      </c>
      <c r="F4" s="20"/>
      <c r="G4" s="20"/>
      <c r="H4" s="32" t="s">
        <v>59</v>
      </c>
      <c r="I4" s="39"/>
      <c r="J4" s="32" t="s">
        <v>65</v>
      </c>
      <c r="K4" s="32"/>
      <c r="L4" s="32" t="s">
        <v>63</v>
      </c>
      <c r="M4" s="32"/>
    </row>
    <row r="5" spans="1:13" x14ac:dyDescent="0.2">
      <c r="C5" s="22"/>
      <c r="D5" s="22"/>
      <c r="E5" s="22"/>
      <c r="J5">
        <v>2026</v>
      </c>
      <c r="K5">
        <v>2025</v>
      </c>
      <c r="L5">
        <v>2024</v>
      </c>
      <c r="M5">
        <v>2023</v>
      </c>
    </row>
    <row r="6" spans="1:13" x14ac:dyDescent="0.2">
      <c r="A6" s="29" t="s">
        <v>23</v>
      </c>
      <c r="B6" s="43">
        <f>Table1[[#This Row],[Column2]]*(1+J12)</f>
        <v>11117532.300000001</v>
      </c>
      <c r="C6" s="24">
        <v>10588126</v>
      </c>
      <c r="D6" s="24">
        <v>9619278</v>
      </c>
      <c r="E6" s="24">
        <v>8110518</v>
      </c>
    </row>
    <row r="7" spans="1:13" x14ac:dyDescent="0.2">
      <c r="A7" t="s">
        <v>24</v>
      </c>
      <c r="B7" s="44">
        <f>B6*J19</f>
        <v>4820258.0795977004</v>
      </c>
      <c r="C7" s="25">
        <v>4317315</v>
      </c>
      <c r="D7" s="25">
        <v>4009873</v>
      </c>
      <c r="E7" s="25">
        <v>3618178</v>
      </c>
      <c r="H7" t="s">
        <v>60</v>
      </c>
    </row>
    <row r="8" spans="1:13" x14ac:dyDescent="0.2">
      <c r="A8" t="s">
        <v>25</v>
      </c>
      <c r="B8" s="59">
        <f>B6-B7</f>
        <v>6297274.2204023004</v>
      </c>
      <c r="C8" s="25">
        <v>6270811</v>
      </c>
      <c r="D8" s="25">
        <v>5609405</v>
      </c>
      <c r="E8" s="25">
        <v>4492340</v>
      </c>
      <c r="H8" t="s">
        <v>66</v>
      </c>
      <c r="J8" s="41">
        <f>_xlfn.FORECAST.LINEAR(J5, K8:M8, K5:M5)</f>
        <v>2.6158980703399948E-2</v>
      </c>
      <c r="K8" s="33">
        <f>(C6-D6)/C6</f>
        <v>9.1503255628049757E-2</v>
      </c>
      <c r="L8" s="10">
        <f>(D6-E6)/D6</f>
        <v>0.15684753055270884</v>
      </c>
      <c r="M8" s="33"/>
    </row>
    <row r="9" spans="1:13" x14ac:dyDescent="0.2">
      <c r="A9" t="s">
        <v>26</v>
      </c>
      <c r="B9" s="47">
        <f>B6*J20</f>
        <v>3885544.973527946</v>
      </c>
      <c r="C9" s="25">
        <v>3762379</v>
      </c>
      <c r="D9" s="25">
        <v>3397218</v>
      </c>
      <c r="E9" s="25">
        <v>2757447</v>
      </c>
    </row>
    <row r="10" spans="1:13" x14ac:dyDescent="0.2">
      <c r="A10" t="s">
        <v>38</v>
      </c>
      <c r="B10">
        <v>0</v>
      </c>
      <c r="C10" s="22">
        <v>0</v>
      </c>
      <c r="D10" s="25">
        <v>74501</v>
      </c>
      <c r="E10" s="25">
        <v>407913</v>
      </c>
      <c r="H10" t="s">
        <v>67</v>
      </c>
      <c r="J10" s="42">
        <f>AVERAGE(K8:L8)</f>
        <v>0.1241753930903793</v>
      </c>
      <c r="M10" t="s">
        <v>64</v>
      </c>
    </row>
    <row r="11" spans="1:13" x14ac:dyDescent="0.2">
      <c r="A11" t="s">
        <v>39</v>
      </c>
      <c r="B11" s="57">
        <f>B6*J23</f>
        <v>6886.310449745798</v>
      </c>
      <c r="C11" s="25">
        <v>2735</v>
      </c>
      <c r="D11" s="25">
        <v>5010</v>
      </c>
      <c r="E11" s="25">
        <v>8752</v>
      </c>
    </row>
    <row r="12" spans="1:13" x14ac:dyDescent="0.2">
      <c r="A12" t="s">
        <v>40</v>
      </c>
      <c r="B12" s="22">
        <v>0</v>
      </c>
      <c r="C12" s="22">
        <v>0</v>
      </c>
      <c r="D12" s="22">
        <v>0</v>
      </c>
      <c r="E12" s="25">
        <v>-10180</v>
      </c>
      <c r="H12" t="s">
        <v>68</v>
      </c>
      <c r="J12" s="42">
        <v>0.05</v>
      </c>
    </row>
    <row r="13" spans="1:13" x14ac:dyDescent="0.2">
      <c r="A13" s="29" t="s">
        <v>27</v>
      </c>
      <c r="B13" s="61">
        <f>B6-B7-B9-B11</f>
        <v>2404842.9364246083</v>
      </c>
      <c r="C13" s="25">
        <v>2505697</v>
      </c>
      <c r="D13" s="25">
        <v>2132676</v>
      </c>
      <c r="E13" s="25">
        <v>1328408</v>
      </c>
      <c r="F13" s="23"/>
    </row>
    <row r="14" spans="1:13" x14ac:dyDescent="0.2">
      <c r="A14" t="s">
        <v>41</v>
      </c>
      <c r="B14" s="64">
        <f>B6*J21</f>
        <v>43123.70785342266</v>
      </c>
      <c r="C14" s="25">
        <v>70380</v>
      </c>
      <c r="D14" s="25">
        <v>43059</v>
      </c>
      <c r="E14" s="25">
        <v>4163</v>
      </c>
      <c r="H14" t="s">
        <v>58</v>
      </c>
      <c r="J14" s="58">
        <f>B8/B6</f>
        <v>0.56642733751286689</v>
      </c>
      <c r="K14" s="35">
        <f>C31/C6</f>
        <v>0.59224937444076509</v>
      </c>
      <c r="L14" s="35">
        <f>D31/D6</f>
        <v>0.58314199880697903</v>
      </c>
      <c r="M14" s="35">
        <f>E31/E6</f>
        <v>0.55389063929085669</v>
      </c>
    </row>
    <row r="15" spans="1:13" x14ac:dyDescent="0.2">
      <c r="A15" t="s">
        <v>28</v>
      </c>
      <c r="B15" s="62">
        <f>J25</f>
        <v>3271633.6666667461</v>
      </c>
      <c r="C15" s="25">
        <v>2576077</v>
      </c>
      <c r="D15" s="25">
        <v>2175735</v>
      </c>
      <c r="E15" s="25">
        <v>1332571</v>
      </c>
      <c r="H15" t="s">
        <v>61</v>
      </c>
      <c r="J15" s="40">
        <f>J14-K14</f>
        <v>-2.5822036927898195E-2</v>
      </c>
      <c r="K15" s="40">
        <f>K14-L14</f>
        <v>9.1073756337860523E-3</v>
      </c>
      <c r="L15" s="40">
        <f>L14-M14</f>
        <v>2.9251359516122344E-2</v>
      </c>
    </row>
    <row r="16" spans="1:13" x14ac:dyDescent="0.2">
      <c r="A16" t="s">
        <v>29</v>
      </c>
      <c r="B16" s="25">
        <f>J25*J22</f>
        <v>1026892.0415731362</v>
      </c>
      <c r="C16" s="25">
        <v>761461</v>
      </c>
      <c r="D16" s="25">
        <v>625545</v>
      </c>
      <c r="E16" s="25">
        <v>477771</v>
      </c>
    </row>
    <row r="17" spans="1:13" x14ac:dyDescent="0.2">
      <c r="A17" s="29" t="s">
        <v>30</v>
      </c>
      <c r="B17" s="25">
        <f>B15-B16</f>
        <v>2244741.62509361</v>
      </c>
      <c r="C17" s="25">
        <v>1814616</v>
      </c>
      <c r="D17" s="25">
        <v>1550190</v>
      </c>
      <c r="E17" s="25">
        <v>854800</v>
      </c>
      <c r="H17" t="s">
        <v>15</v>
      </c>
      <c r="J17" s="60">
        <f>B13/B6</f>
        <v>0.2163108567199403</v>
      </c>
      <c r="K17" s="35">
        <f>C13/C6</f>
        <v>0.23665160388155562</v>
      </c>
      <c r="L17" s="35">
        <f>D13/D6</f>
        <v>0.22170853155507098</v>
      </c>
      <c r="M17" s="35">
        <f>E13/E6</f>
        <v>0.16378830550650403</v>
      </c>
    </row>
    <row r="18" spans="1:13" x14ac:dyDescent="0.2">
      <c r="A18" s="21"/>
      <c r="B18" s="21"/>
      <c r="C18" s="30"/>
      <c r="D18" s="30"/>
      <c r="E18" s="30"/>
    </row>
    <row r="19" spans="1:13" x14ac:dyDescent="0.2">
      <c r="A19" t="s">
        <v>42</v>
      </c>
      <c r="C19" s="22"/>
      <c r="D19" s="22"/>
      <c r="E19" s="22"/>
      <c r="H19" t="s">
        <v>114</v>
      </c>
      <c r="J19" s="45">
        <f>AVERAGE(K19:M19)+1%</f>
        <v>0.43357266248713305</v>
      </c>
      <c r="K19" s="35">
        <f>C7/C6</f>
        <v>0.40775062555923491</v>
      </c>
      <c r="L19" s="35">
        <f>D7/D6</f>
        <v>0.41685800119302091</v>
      </c>
      <c r="M19" s="35">
        <f>E7/E6</f>
        <v>0.44610936070914337</v>
      </c>
    </row>
    <row r="20" spans="1:13" x14ac:dyDescent="0.2">
      <c r="A20" t="s">
        <v>31</v>
      </c>
      <c r="C20" s="25">
        <v>-253209</v>
      </c>
      <c r="D20" s="25">
        <v>-23077</v>
      </c>
      <c r="E20" s="25">
        <v>-65571</v>
      </c>
      <c r="H20" t="s">
        <v>62</v>
      </c>
      <c r="J20" s="46">
        <f>AVERAGE(K20:M20)</f>
        <v>0.34949707081381232</v>
      </c>
      <c r="K20" s="35">
        <f>C9/C6</f>
        <v>0.35533946233733904</v>
      </c>
      <c r="L20" s="35">
        <f>D9/D6</f>
        <v>0.35316767017233519</v>
      </c>
      <c r="M20" s="35">
        <f>E9/E6</f>
        <v>0.33998407993176266</v>
      </c>
    </row>
    <row r="21" spans="1:13" x14ac:dyDescent="0.2">
      <c r="A21" t="s">
        <v>43</v>
      </c>
      <c r="C21" s="25">
        <v>93024</v>
      </c>
      <c r="D21" s="25">
        <v>11405</v>
      </c>
      <c r="E21" s="25">
        <v>8904</v>
      </c>
      <c r="H21" s="38" t="s">
        <v>109</v>
      </c>
      <c r="J21" s="53">
        <f>AVERAGE(K21:M21)</f>
        <v>3.8788920679297379E-3</v>
      </c>
      <c r="K21" s="35">
        <f>C14/C6</f>
        <v>6.647068612519345E-3</v>
      </c>
      <c r="L21" s="35">
        <f>D14/D6</f>
        <v>4.4763234829058897E-3</v>
      </c>
      <c r="M21" s="35">
        <f>E14/E6</f>
        <v>5.1328410836397873E-4</v>
      </c>
    </row>
    <row r="22" spans="1:13" x14ac:dyDescent="0.2">
      <c r="A22" t="s">
        <v>44</v>
      </c>
      <c r="C22" s="25">
        <v>-160185</v>
      </c>
      <c r="D22" s="25">
        <v>-11672</v>
      </c>
      <c r="E22" s="25">
        <v>-56667</v>
      </c>
      <c r="H22" s="38" t="s">
        <v>112</v>
      </c>
      <c r="J22" s="40">
        <f>AVERAGE(K22:M22)</f>
        <v>0.31387745273430001</v>
      </c>
      <c r="K22" s="35">
        <f>C16/C15</f>
        <v>0.29558937873363256</v>
      </c>
      <c r="L22" s="35">
        <f>D16/D15</f>
        <v>0.28750973808850805</v>
      </c>
      <c r="M22" s="35">
        <f>E16/E15</f>
        <v>0.35853324138075943</v>
      </c>
    </row>
    <row r="23" spans="1:13" x14ac:dyDescent="0.2">
      <c r="A23" t="s">
        <v>32</v>
      </c>
      <c r="C23" s="24">
        <v>1654431</v>
      </c>
      <c r="D23" s="24">
        <v>1538518</v>
      </c>
      <c r="E23" s="24">
        <v>798133</v>
      </c>
      <c r="H23" t="s">
        <v>111</v>
      </c>
      <c r="J23" s="56">
        <f>AVERAGE(K23:M23)</f>
        <v>6.1940997911432176E-4</v>
      </c>
      <c r="K23" s="55">
        <f>C11/C6</f>
        <v>2.5830822187042352E-4</v>
      </c>
      <c r="L23" s="55">
        <f>D11/D6</f>
        <v>5.208291100433941E-4</v>
      </c>
      <c r="M23" s="55">
        <f>E11/E6</f>
        <v>1.0790926054291476E-3</v>
      </c>
    </row>
    <row r="24" spans="1:13" x14ac:dyDescent="0.2">
      <c r="A24" s="21"/>
      <c r="B24" s="21"/>
      <c r="C24" s="24"/>
      <c r="D24" s="24"/>
      <c r="E24" s="24"/>
    </row>
    <row r="25" spans="1:13" x14ac:dyDescent="0.2">
      <c r="A25" t="s">
        <v>33</v>
      </c>
      <c r="C25" s="26">
        <v>14.67</v>
      </c>
      <c r="D25" s="26">
        <v>12.23</v>
      </c>
      <c r="E25" s="26">
        <v>6.7</v>
      </c>
      <c r="H25" t="s">
        <v>113</v>
      </c>
      <c r="J25" s="63">
        <f>_xlfn.FORECAST.LINEAR(J5, K25:M25, K5:M5)</f>
        <v>3271633.6666667461</v>
      </c>
      <c r="K25" s="4">
        <f>C15</f>
        <v>2576077</v>
      </c>
      <c r="L25" s="4">
        <f>D15</f>
        <v>2175735</v>
      </c>
      <c r="M25" s="4">
        <f>E15</f>
        <v>1332571</v>
      </c>
    </row>
    <row r="26" spans="1:13" x14ac:dyDescent="0.2">
      <c r="A26" t="s">
        <v>34</v>
      </c>
      <c r="C26" s="26">
        <v>14.64</v>
      </c>
      <c r="D26" s="26">
        <v>12.2</v>
      </c>
      <c r="E26" s="26">
        <v>6.68</v>
      </c>
    </row>
    <row r="27" spans="1:13" x14ac:dyDescent="0.2">
      <c r="A27" t="s">
        <v>45</v>
      </c>
      <c r="C27" s="25">
        <v>123735</v>
      </c>
      <c r="D27" s="25">
        <v>126726</v>
      </c>
      <c r="E27" s="25">
        <v>127666</v>
      </c>
    </row>
    <row r="28" spans="1:13" x14ac:dyDescent="0.2">
      <c r="A28" t="s">
        <v>46</v>
      </c>
      <c r="C28" s="25">
        <v>123935</v>
      </c>
      <c r="D28" s="25">
        <v>127060</v>
      </c>
      <c r="E28" s="25">
        <v>128017</v>
      </c>
      <c r="H28" s="4"/>
    </row>
    <row r="29" spans="1:13" x14ac:dyDescent="0.2">
      <c r="A29" s="65"/>
      <c r="B29" s="65"/>
      <c r="C29" s="65"/>
      <c r="D29" s="65"/>
      <c r="H29" s="4"/>
    </row>
    <row r="30" spans="1:13" x14ac:dyDescent="0.2">
      <c r="C30">
        <v>2025</v>
      </c>
      <c r="D30">
        <v>2024</v>
      </c>
      <c r="E30">
        <v>2023</v>
      </c>
      <c r="F30">
        <v>2022</v>
      </c>
    </row>
    <row r="31" spans="1:13" x14ac:dyDescent="0.2">
      <c r="A31" t="s">
        <v>53</v>
      </c>
      <c r="B31" s="4"/>
      <c r="C31" s="4">
        <f>C8</f>
        <v>6270811</v>
      </c>
      <c r="D31" s="4">
        <f>D8</f>
        <v>5609405</v>
      </c>
      <c r="E31" s="4">
        <f>E8</f>
        <v>4492340</v>
      </c>
    </row>
    <row r="32" spans="1:13" x14ac:dyDescent="0.2">
      <c r="A32" t="s">
        <v>58</v>
      </c>
      <c r="B32" s="4"/>
      <c r="C32" s="34">
        <f>C31/C6</f>
        <v>0.59224937444076509</v>
      </c>
      <c r="D32" s="34">
        <f>D31/D6</f>
        <v>0.58314199880697903</v>
      </c>
      <c r="E32" s="35">
        <f>E31/E6</f>
        <v>0.55389063929085669</v>
      </c>
    </row>
    <row r="33" spans="1:6" x14ac:dyDescent="0.2">
      <c r="B33" s="9"/>
      <c r="C33" s="33"/>
      <c r="D33" s="33"/>
    </row>
    <row r="35" spans="1:6" x14ac:dyDescent="0.2">
      <c r="A35" t="s">
        <v>54</v>
      </c>
      <c r="C35" s="4">
        <f>C17+C16+C14</f>
        <v>2646457</v>
      </c>
      <c r="D35" s="4">
        <f>D17+D16+D14</f>
        <v>2218794</v>
      </c>
      <c r="E35" s="4">
        <f>E17+E16+E14</f>
        <v>1336734</v>
      </c>
    </row>
    <row r="36" spans="1:6" x14ac:dyDescent="0.2">
      <c r="A36" t="s">
        <v>57</v>
      </c>
      <c r="B36" s="4"/>
      <c r="C36" s="36">
        <f>C35/C6</f>
        <v>0.24994574110659432</v>
      </c>
      <c r="D36" s="34">
        <f>D35/D6</f>
        <v>0.23066117852088275</v>
      </c>
      <c r="E36" s="34">
        <f>E35/E6</f>
        <v>0.16481487372323197</v>
      </c>
    </row>
    <row r="37" spans="1:6" x14ac:dyDescent="0.2">
      <c r="B37" s="4"/>
      <c r="C37" s="4"/>
      <c r="D37" s="4"/>
    </row>
    <row r="38" spans="1:6" x14ac:dyDescent="0.2">
      <c r="A38" t="s">
        <v>55</v>
      </c>
      <c r="B38" s="4"/>
      <c r="C38" s="4">
        <f>C6</f>
        <v>10588126</v>
      </c>
      <c r="D38" s="4">
        <f>D6</f>
        <v>9619278</v>
      </c>
      <c r="E38" s="4">
        <f>E6</f>
        <v>8110518</v>
      </c>
      <c r="F38" s="4">
        <v>6256617</v>
      </c>
    </row>
    <row r="39" spans="1:6" x14ac:dyDescent="0.2">
      <c r="A39" t="s">
        <v>56</v>
      </c>
      <c r="B39" s="11"/>
      <c r="C39" s="33">
        <f>(C38-D38)/C38</f>
        <v>9.1503255628049757E-2</v>
      </c>
      <c r="D39" s="33">
        <f>(D38-E38)/D38</f>
        <v>0.15684753055270884</v>
      </c>
      <c r="E39" s="33">
        <f>(E38-F38)/E38</f>
        <v>0.2285798514965382</v>
      </c>
    </row>
    <row r="40" spans="1:6" x14ac:dyDescent="0.2">
      <c r="B40" s="11"/>
      <c r="C40" s="11"/>
      <c r="D40" s="11"/>
    </row>
    <row r="41" spans="1:6" x14ac:dyDescent="0.2">
      <c r="B41" s="16"/>
      <c r="C41" s="16"/>
      <c r="D41" s="16"/>
    </row>
  </sheetData>
  <mergeCells count="1">
    <mergeCell ref="A29:D29"/>
  </mergeCells>
  <phoneticPr fontId="8" type="noConversion"/>
  <hyperlinks>
    <hyperlink ref="A6" r:id="rId1" display="javascript:void(0);" xr:uid="{C24F16D9-4B4E-A042-8057-9CEE3865E1CC}"/>
    <hyperlink ref="A7" r:id="rId2" display="javascript:void(0);" xr:uid="{38D36671-5EA1-C244-8A18-E0E1F9E97F99}"/>
    <hyperlink ref="A8" r:id="rId3" display="javascript:void(0);" xr:uid="{CFD780ED-EBFB-374B-AD63-BDA44047ACA6}"/>
    <hyperlink ref="A9" r:id="rId4" display="javascript:void(0);" xr:uid="{ABBD8F91-D445-AA49-B920-50FF949DD345}"/>
    <hyperlink ref="A10" r:id="rId5" display="javascript:void(0);" xr:uid="{8AD818EB-3820-F442-AA43-58D387477679}"/>
    <hyperlink ref="A11" r:id="rId6" display="javascript:void(0);" xr:uid="{417B87A9-72D7-0A4E-A21E-56C9C4471E54}"/>
    <hyperlink ref="A12" r:id="rId7" display="javascript:void(0);" xr:uid="{73FAE80D-7BB1-824B-B53C-F3D46F39B3DE}"/>
    <hyperlink ref="A13" r:id="rId8" display="javascript:void(0);" xr:uid="{75AF991A-BF81-4544-9F02-9FC674676CD2}"/>
    <hyperlink ref="A14" r:id="rId9" display="javascript:void(0);" xr:uid="{48C2C32E-F250-D946-9A52-52AEAC574B72}"/>
    <hyperlink ref="A15" r:id="rId10" display="javascript:void(0);" xr:uid="{D8335A3F-F6B1-464B-8022-A6450F3E8949}"/>
    <hyperlink ref="A16" r:id="rId11" display="javascript:void(0);" xr:uid="{A68F233E-94B0-634A-80E5-2C231CAFECD9}"/>
    <hyperlink ref="A17" r:id="rId12" display="javascript:void(0);" xr:uid="{4B8F0D00-020F-4E4E-BDB8-1A4A817E2F07}"/>
    <hyperlink ref="A19" r:id="rId13" display="javascript:void(0);" xr:uid="{5059A3BF-9119-6F4A-A5BB-C4951620A1A8}"/>
    <hyperlink ref="A20" r:id="rId14" display="javascript:void(0);" xr:uid="{AB5181DF-4B9E-FE4A-81CF-AD77CEDBF254}"/>
    <hyperlink ref="A21" r:id="rId15" display="javascript:void(0);" xr:uid="{63CF4906-5B98-3A47-9FA5-19550970387A}"/>
    <hyperlink ref="A22" r:id="rId16" display="javascript:void(0);" xr:uid="{566B7519-7A10-D04E-BFE9-E9C4D3C7A539}"/>
    <hyperlink ref="A23" r:id="rId17" display="javascript:void(0);" xr:uid="{654628E4-FE8E-C840-835F-080A5C5D62CB}"/>
    <hyperlink ref="A25" r:id="rId18" display="javascript:void(0);" xr:uid="{EB54262B-1C17-1B43-8EB2-A3E08F7447C4}"/>
    <hyperlink ref="A26" r:id="rId19" display="javascript:void(0);" xr:uid="{4E1187E7-7C20-9A48-98F3-BFF78AB7B90F}"/>
    <hyperlink ref="A27" r:id="rId20" display="javascript:void(0);" xr:uid="{DA7E3061-35F8-1043-A7D9-76F0E1B21D74}"/>
    <hyperlink ref="A28" r:id="rId21" display="javascript:void(0);" xr:uid="{84EB2A05-2F70-F742-91B7-74A6C58096FA}"/>
  </hyperlinks>
  <pageMargins left="0.7" right="0.7" top="0.75" bottom="0.75" header="0.3" footer="0.3"/>
  <pageSetup orientation="portrait" horizontalDpi="0" verticalDpi="0"/>
  <tableParts count="1">
    <tablePart r:id="rId2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DC61-1F4A-9248-AE66-7D8D541AE20A}">
  <dimension ref="A1:J41"/>
  <sheetViews>
    <sheetView showGridLines="0" workbookViewId="0">
      <selection activeCell="E9" sqref="E9"/>
    </sheetView>
  </sheetViews>
  <sheetFormatPr baseColWidth="10" defaultRowHeight="16" x14ac:dyDescent="0.2"/>
  <cols>
    <col min="1" max="1" width="90.33203125" bestFit="1" customWidth="1"/>
    <col min="2" max="2" width="8.5" bestFit="1" customWidth="1"/>
    <col min="3" max="3" width="8.33203125" bestFit="1" customWidth="1"/>
  </cols>
  <sheetData>
    <row r="1" spans="1:10" x14ac:dyDescent="0.2">
      <c r="A1" s="20" t="s">
        <v>69</v>
      </c>
      <c r="B1" s="66" t="s">
        <v>35</v>
      </c>
      <c r="C1" s="66" t="s">
        <v>36</v>
      </c>
      <c r="D1" s="66" t="s">
        <v>37</v>
      </c>
      <c r="H1" s="24"/>
    </row>
    <row r="2" spans="1:10" x14ac:dyDescent="0.2">
      <c r="A2" s="20" t="s">
        <v>70</v>
      </c>
      <c r="B2" s="66"/>
      <c r="C2" s="66"/>
      <c r="D2" s="66"/>
      <c r="H2" s="21"/>
      <c r="I2" s="25"/>
      <c r="J2" s="25"/>
    </row>
    <row r="3" spans="1:10" x14ac:dyDescent="0.2">
      <c r="A3" s="48" t="s">
        <v>71</v>
      </c>
      <c r="B3" s="22"/>
      <c r="C3" s="22"/>
      <c r="H3" s="21"/>
      <c r="I3" s="25"/>
      <c r="J3" s="25"/>
    </row>
    <row r="4" spans="1:10" x14ac:dyDescent="0.2">
      <c r="A4" s="49" t="s">
        <v>72</v>
      </c>
      <c r="B4" s="24">
        <v>1984336</v>
      </c>
      <c r="C4" s="24">
        <v>2243971</v>
      </c>
      <c r="D4" s="24">
        <v>1154867</v>
      </c>
      <c r="H4" s="21"/>
      <c r="I4" s="25"/>
      <c r="J4" s="25"/>
    </row>
    <row r="5" spans="1:10" x14ac:dyDescent="0.2">
      <c r="A5" s="48" t="s">
        <v>73</v>
      </c>
      <c r="B5" s="25">
        <v>120173</v>
      </c>
      <c r="C5" s="25">
        <v>124769</v>
      </c>
      <c r="D5" s="25">
        <v>132906</v>
      </c>
      <c r="H5" s="21"/>
      <c r="I5" s="25"/>
      <c r="J5" s="25"/>
    </row>
    <row r="6" spans="1:10" x14ac:dyDescent="0.2">
      <c r="A6" s="27" t="s">
        <v>12</v>
      </c>
      <c r="B6" s="25">
        <v>1442081</v>
      </c>
      <c r="C6" s="25">
        <v>1323602</v>
      </c>
      <c r="D6" s="25">
        <v>1447367</v>
      </c>
      <c r="H6" s="21"/>
      <c r="I6" s="25"/>
      <c r="J6" s="25"/>
    </row>
    <row r="7" spans="1:10" x14ac:dyDescent="0.2">
      <c r="A7" s="50" t="s">
        <v>74</v>
      </c>
      <c r="B7" s="25">
        <v>182253</v>
      </c>
      <c r="C7" s="25">
        <v>183733</v>
      </c>
      <c r="D7" s="25">
        <v>185641</v>
      </c>
      <c r="H7" s="21"/>
      <c r="I7" s="25"/>
      <c r="J7" s="25"/>
    </row>
    <row r="8" spans="1:10" x14ac:dyDescent="0.2">
      <c r="A8" s="27" t="s">
        <v>75</v>
      </c>
      <c r="B8" s="25">
        <v>251459</v>
      </c>
      <c r="C8" s="25">
        <v>184502</v>
      </c>
      <c r="D8" s="25">
        <v>238672</v>
      </c>
      <c r="H8" s="21"/>
      <c r="I8" s="25"/>
      <c r="J8" s="25"/>
    </row>
    <row r="9" spans="1:10" x14ac:dyDescent="0.2">
      <c r="A9" s="28" t="s">
        <v>76</v>
      </c>
      <c r="B9" s="25">
        <v>3980302</v>
      </c>
      <c r="C9" s="25">
        <v>4060577</v>
      </c>
      <c r="D9" s="25">
        <v>3159453</v>
      </c>
      <c r="H9" s="21"/>
      <c r="I9" s="25"/>
      <c r="J9" s="25"/>
    </row>
    <row r="10" spans="1:10" x14ac:dyDescent="0.2">
      <c r="A10" s="27" t="s">
        <v>77</v>
      </c>
      <c r="B10" s="25">
        <v>1780617</v>
      </c>
      <c r="C10" s="25">
        <v>1545811</v>
      </c>
      <c r="D10" s="25">
        <v>1269614</v>
      </c>
      <c r="H10" s="21"/>
      <c r="I10" s="22"/>
      <c r="J10" s="25"/>
    </row>
    <row r="11" spans="1:10" x14ac:dyDescent="0.2">
      <c r="A11" s="28" t="s">
        <v>78</v>
      </c>
      <c r="B11" s="25">
        <v>1416256</v>
      </c>
      <c r="C11" s="25">
        <v>1265610</v>
      </c>
      <c r="D11" s="25">
        <v>969419</v>
      </c>
      <c r="H11" s="21"/>
      <c r="I11" s="25"/>
      <c r="J11" s="25"/>
    </row>
    <row r="12" spans="1:10" x14ac:dyDescent="0.2">
      <c r="A12" s="27" t="s">
        <v>79</v>
      </c>
      <c r="B12" s="25">
        <v>159518</v>
      </c>
      <c r="C12" s="25">
        <v>24083</v>
      </c>
      <c r="D12" s="25">
        <v>24144</v>
      </c>
      <c r="H12" s="21"/>
      <c r="I12" s="25"/>
      <c r="J12" s="25"/>
    </row>
    <row r="13" spans="1:10" x14ac:dyDescent="0.2">
      <c r="A13" s="28" t="s">
        <v>80</v>
      </c>
      <c r="B13" s="25">
        <v>11673</v>
      </c>
      <c r="C13" s="22">
        <v>0</v>
      </c>
      <c r="D13" s="25">
        <v>21961</v>
      </c>
      <c r="H13" s="21"/>
      <c r="I13" s="25"/>
      <c r="J13" s="25"/>
    </row>
    <row r="14" spans="1:10" x14ac:dyDescent="0.2">
      <c r="A14" s="51" t="s">
        <v>81</v>
      </c>
      <c r="B14" s="25">
        <v>17085</v>
      </c>
      <c r="C14" s="25">
        <v>9176</v>
      </c>
      <c r="D14" s="25">
        <v>6402</v>
      </c>
      <c r="H14" s="21"/>
      <c r="I14" s="22"/>
      <c r="J14" s="22"/>
    </row>
    <row r="15" spans="1:10" x14ac:dyDescent="0.2">
      <c r="A15" s="28" t="s">
        <v>82</v>
      </c>
      <c r="B15" s="25">
        <v>237841</v>
      </c>
      <c r="C15" s="25">
        <v>186684</v>
      </c>
      <c r="D15" s="25">
        <v>156045</v>
      </c>
      <c r="H15" s="21"/>
      <c r="I15" s="25"/>
      <c r="J15" s="25"/>
    </row>
    <row r="16" spans="1:10" x14ac:dyDescent="0.2">
      <c r="A16" s="27" t="s">
        <v>83</v>
      </c>
      <c r="B16" s="25">
        <v>7603292</v>
      </c>
      <c r="C16" s="25">
        <v>7091941</v>
      </c>
      <c r="D16" s="25">
        <v>5607038</v>
      </c>
      <c r="H16" s="21"/>
      <c r="I16" s="25"/>
      <c r="J16" s="25"/>
    </row>
    <row r="17" spans="1:10" x14ac:dyDescent="0.2">
      <c r="A17" s="28" t="s">
        <v>84</v>
      </c>
      <c r="B17" s="22"/>
      <c r="C17" s="22"/>
      <c r="D17" s="22"/>
      <c r="H17" s="21"/>
      <c r="I17" s="25"/>
      <c r="J17" s="25"/>
    </row>
    <row r="18" spans="1:10" x14ac:dyDescent="0.2">
      <c r="A18" s="51" t="s">
        <v>85</v>
      </c>
      <c r="B18" s="25">
        <v>271406</v>
      </c>
      <c r="C18" s="25">
        <v>348441</v>
      </c>
      <c r="D18" s="25">
        <v>172732</v>
      </c>
      <c r="H18" s="21"/>
      <c r="I18" s="25"/>
      <c r="J18" s="25"/>
    </row>
    <row r="19" spans="1:10" x14ac:dyDescent="0.2">
      <c r="A19" s="52" t="s">
        <v>86</v>
      </c>
      <c r="B19" s="25">
        <v>559463</v>
      </c>
      <c r="C19" s="25">
        <v>348555</v>
      </c>
      <c r="D19" s="25">
        <v>399223</v>
      </c>
      <c r="H19" s="21"/>
      <c r="I19" s="25"/>
      <c r="J19" s="25"/>
    </row>
    <row r="20" spans="1:10" x14ac:dyDescent="0.2">
      <c r="A20" s="48" t="s">
        <v>87</v>
      </c>
      <c r="B20" s="25">
        <v>204543</v>
      </c>
      <c r="C20" s="25">
        <v>326110</v>
      </c>
      <c r="D20" s="25">
        <v>248167</v>
      </c>
      <c r="H20" s="21"/>
      <c r="I20" s="25"/>
      <c r="J20" s="25"/>
    </row>
    <row r="21" spans="1:10" x14ac:dyDescent="0.2">
      <c r="A21" s="49" t="s">
        <v>88</v>
      </c>
      <c r="B21" s="25">
        <v>275154</v>
      </c>
      <c r="C21" s="25">
        <v>249270</v>
      </c>
      <c r="D21" s="25">
        <v>207972</v>
      </c>
      <c r="H21" s="21"/>
      <c r="I21" s="25"/>
      <c r="J21" s="25"/>
    </row>
    <row r="22" spans="1:10" x14ac:dyDescent="0.2">
      <c r="A22" s="48" t="s">
        <v>89</v>
      </c>
      <c r="B22" s="25">
        <v>183126</v>
      </c>
      <c r="C22" s="25">
        <v>12098</v>
      </c>
      <c r="D22" s="25">
        <v>174221</v>
      </c>
      <c r="H22" s="21"/>
      <c r="I22" s="25"/>
      <c r="J22" s="25"/>
    </row>
    <row r="23" spans="1:10" x14ac:dyDescent="0.2">
      <c r="A23" s="27" t="s">
        <v>90</v>
      </c>
      <c r="B23" s="25">
        <v>308352</v>
      </c>
      <c r="C23" s="25">
        <v>306479</v>
      </c>
      <c r="D23" s="25">
        <v>251478</v>
      </c>
      <c r="H23" s="21"/>
      <c r="I23" s="25"/>
      <c r="J23" s="25"/>
    </row>
    <row r="24" spans="1:10" x14ac:dyDescent="0.2">
      <c r="A24" s="50" t="s">
        <v>91</v>
      </c>
      <c r="B24" s="25">
        <v>37586</v>
      </c>
      <c r="C24" s="25">
        <v>40308</v>
      </c>
      <c r="D24" s="25">
        <v>38405</v>
      </c>
      <c r="H24" s="21"/>
      <c r="I24" s="25"/>
      <c r="J24" s="25"/>
    </row>
    <row r="25" spans="1:10" x14ac:dyDescent="0.2">
      <c r="A25" s="27" t="s">
        <v>92</v>
      </c>
      <c r="B25" s="25">
        <v>1839630</v>
      </c>
      <c r="C25" s="25">
        <v>1631261</v>
      </c>
      <c r="D25" s="25">
        <v>1492198</v>
      </c>
      <c r="H25" s="21"/>
      <c r="I25" s="25"/>
      <c r="J25" s="25"/>
    </row>
    <row r="26" spans="1:10" x14ac:dyDescent="0.2">
      <c r="A26" s="28" t="s">
        <v>93</v>
      </c>
      <c r="B26" s="25">
        <v>1300637</v>
      </c>
      <c r="C26" s="25">
        <v>1154012</v>
      </c>
      <c r="D26" s="25">
        <v>862362</v>
      </c>
      <c r="H26" s="21"/>
      <c r="I26" s="25"/>
      <c r="J26" s="25"/>
    </row>
    <row r="27" spans="1:10" x14ac:dyDescent="0.2">
      <c r="A27" s="27" t="s">
        <v>94</v>
      </c>
      <c r="B27" s="22">
        <v>0</v>
      </c>
      <c r="C27" s="25">
        <v>15864</v>
      </c>
      <c r="D27" s="25">
        <v>28555</v>
      </c>
      <c r="H27" s="21"/>
      <c r="I27" s="25"/>
      <c r="J27" s="25"/>
    </row>
    <row r="28" spans="1:10" x14ac:dyDescent="0.2">
      <c r="A28" s="28" t="s">
        <v>95</v>
      </c>
      <c r="B28" s="25">
        <v>98188</v>
      </c>
      <c r="C28" s="25">
        <v>29522</v>
      </c>
      <c r="D28" s="25">
        <v>55084</v>
      </c>
      <c r="H28" s="21"/>
      <c r="I28" s="22"/>
      <c r="J28" s="22"/>
    </row>
    <row r="29" spans="1:10" x14ac:dyDescent="0.2">
      <c r="A29" s="27" t="s">
        <v>96</v>
      </c>
      <c r="B29" s="25">
        <v>40790</v>
      </c>
      <c r="C29" s="25">
        <v>29201</v>
      </c>
      <c r="D29" s="25">
        <v>20040</v>
      </c>
      <c r="H29" s="21"/>
      <c r="I29" s="22"/>
      <c r="J29" s="22"/>
    </row>
    <row r="30" spans="1:10" x14ac:dyDescent="0.2">
      <c r="A30" s="28" t="s">
        <v>97</v>
      </c>
      <c r="B30" s="25">
        <v>3279245</v>
      </c>
      <c r="C30" s="25">
        <v>2859860</v>
      </c>
      <c r="D30" s="25">
        <v>2458239</v>
      </c>
      <c r="H30" s="21"/>
      <c r="I30" s="22"/>
      <c r="J30" s="22"/>
    </row>
    <row r="31" spans="1:10" x14ac:dyDescent="0.2">
      <c r="A31" s="51" t="s">
        <v>98</v>
      </c>
      <c r="B31" s="22"/>
      <c r="C31" s="22"/>
      <c r="D31" s="22"/>
      <c r="H31" s="21"/>
      <c r="I31" s="22"/>
      <c r="J31" s="22"/>
    </row>
    <row r="32" spans="1:10" x14ac:dyDescent="0.2">
      <c r="A32" s="28" t="s">
        <v>99</v>
      </c>
      <c r="B32" s="22"/>
      <c r="C32" s="22"/>
      <c r="D32" s="22"/>
      <c r="H32" s="21"/>
      <c r="I32" s="22"/>
      <c r="J32" s="22"/>
    </row>
    <row r="33" spans="1:10" x14ac:dyDescent="0.2">
      <c r="A33" s="27" t="s">
        <v>100</v>
      </c>
      <c r="B33" s="22">
        <v>0</v>
      </c>
      <c r="C33" s="22">
        <v>0</v>
      </c>
      <c r="D33" s="22">
        <v>0</v>
      </c>
      <c r="H33" s="21"/>
      <c r="I33" s="22"/>
      <c r="J33" s="22"/>
    </row>
    <row r="34" spans="1:10" x14ac:dyDescent="0.2">
      <c r="A34" s="28" t="s">
        <v>101</v>
      </c>
      <c r="B34" s="22">
        <v>0</v>
      </c>
      <c r="C34" s="22">
        <v>0</v>
      </c>
      <c r="D34" s="22">
        <v>0</v>
      </c>
      <c r="H34" s="21"/>
      <c r="I34" s="25"/>
      <c r="J34" s="25"/>
    </row>
    <row r="35" spans="1:10" x14ac:dyDescent="0.2">
      <c r="A35" s="51" t="s">
        <v>102</v>
      </c>
      <c r="B35" s="22">
        <v>0</v>
      </c>
      <c r="C35" s="22">
        <v>0</v>
      </c>
      <c r="D35" s="22">
        <v>0</v>
      </c>
      <c r="H35" s="21"/>
      <c r="I35" s="25"/>
      <c r="J35" s="25"/>
    </row>
    <row r="36" spans="1:10" x14ac:dyDescent="0.2">
      <c r="A36" s="52" t="s">
        <v>103</v>
      </c>
      <c r="B36" s="22">
        <v>581</v>
      </c>
      <c r="C36" s="22">
        <v>606</v>
      </c>
      <c r="D36" s="22">
        <v>611</v>
      </c>
      <c r="H36" s="21"/>
      <c r="I36" s="25"/>
      <c r="J36" s="25"/>
    </row>
    <row r="37" spans="1:10" x14ac:dyDescent="0.2">
      <c r="A37" s="48" t="s">
        <v>104</v>
      </c>
      <c r="B37" s="25">
        <v>638190</v>
      </c>
      <c r="C37" s="25">
        <v>575369</v>
      </c>
      <c r="D37" s="25">
        <v>474645</v>
      </c>
      <c r="H37" s="21"/>
      <c r="I37" s="25"/>
      <c r="J37" s="25"/>
    </row>
    <row r="38" spans="1:10" x14ac:dyDescent="0.2">
      <c r="A38" s="49" t="s">
        <v>105</v>
      </c>
      <c r="B38" s="25">
        <v>4109717</v>
      </c>
      <c r="C38" s="25">
        <v>3920362</v>
      </c>
      <c r="D38" s="25">
        <v>2926127</v>
      </c>
      <c r="H38" s="21"/>
      <c r="I38" s="24"/>
      <c r="J38" s="24"/>
    </row>
    <row r="39" spans="1:10" x14ac:dyDescent="0.2">
      <c r="A39" s="48" t="s">
        <v>106</v>
      </c>
      <c r="B39" s="25">
        <v>-424441</v>
      </c>
      <c r="C39" s="25">
        <v>-264256</v>
      </c>
      <c r="D39" s="25">
        <v>-252584</v>
      </c>
      <c r="H39" s="65"/>
      <c r="I39" s="65"/>
      <c r="J39" s="65"/>
    </row>
    <row r="40" spans="1:10" x14ac:dyDescent="0.2">
      <c r="A40" s="27" t="s">
        <v>107</v>
      </c>
      <c r="B40" s="25">
        <v>4324047</v>
      </c>
      <c r="C40" s="25">
        <v>4232081</v>
      </c>
      <c r="D40" s="25">
        <v>3148799</v>
      </c>
      <c r="H40" s="65"/>
      <c r="I40" s="65"/>
      <c r="J40" s="65"/>
    </row>
    <row r="41" spans="1:10" x14ac:dyDescent="0.2">
      <c r="A41" s="50" t="s">
        <v>108</v>
      </c>
      <c r="B41" s="24">
        <v>7603292</v>
      </c>
      <c r="C41" s="24">
        <v>7091941</v>
      </c>
      <c r="D41" s="24">
        <v>5607038</v>
      </c>
    </row>
  </sheetData>
  <mergeCells count="5">
    <mergeCell ref="B1:B2"/>
    <mergeCell ref="C1:C2"/>
    <mergeCell ref="H39:J39"/>
    <mergeCell ref="H40:J40"/>
    <mergeCell ref="D1:D2"/>
  </mergeCells>
  <hyperlinks>
    <hyperlink ref="A3" r:id="rId1" display="javascript:void(0);" xr:uid="{65895CB3-C473-7A43-AD82-BA1D18BA50C1}"/>
    <hyperlink ref="A4" r:id="rId2" display="javascript:void(0);" xr:uid="{E544202D-D277-E746-A25D-1ADB50E4E45E}"/>
    <hyperlink ref="A5" r:id="rId3" display="javascript:void(0);" xr:uid="{19D6B262-5AC9-B544-B52D-3BF5003E46B5}"/>
    <hyperlink ref="A6" r:id="rId4" display="javascript:void(0);" xr:uid="{00B20AFF-09FD-7241-B961-3754CEBB6387}"/>
    <hyperlink ref="A7" r:id="rId5" display="javascript:void(0);" xr:uid="{1F8E1006-53D5-B74F-9EDC-524179EF7E9F}"/>
    <hyperlink ref="A8" r:id="rId6" display="javascript:void(0);" xr:uid="{9BB2CDD9-8400-0247-BA07-8FBBB5352939}"/>
    <hyperlink ref="A9" r:id="rId7" display="javascript:void(0);" xr:uid="{2B6173BF-C0EB-404E-B910-82664A191722}"/>
    <hyperlink ref="A10" r:id="rId8" display="javascript:void(0);" xr:uid="{E059C739-0CCF-9043-8551-2EF18C7D16FA}"/>
    <hyperlink ref="A11" r:id="rId9" display="javascript:void(0);" xr:uid="{661793F7-D4C7-DD46-8766-A9728F0E7A20}"/>
    <hyperlink ref="A12" r:id="rId10" display="javascript:void(0);" xr:uid="{920CA522-EDD3-FB40-B91F-405337FAB99D}"/>
    <hyperlink ref="A13" r:id="rId11" display="javascript:void(0);" xr:uid="{AC40ECF9-D877-0748-9B02-4F2B33C6D84B}"/>
    <hyperlink ref="A14" r:id="rId12" display="javascript:void(0);" xr:uid="{47BA2B47-CDBE-A440-AD0A-CBC205042407}"/>
    <hyperlink ref="A15" r:id="rId13" display="javascript:void(0);" xr:uid="{569532C5-AB07-5948-AAFC-C356C392F0FD}"/>
    <hyperlink ref="A16" r:id="rId14" display="javascript:void(0);" xr:uid="{9939FE18-3179-F64E-B422-C15CF9E0B356}"/>
    <hyperlink ref="A17" r:id="rId15" display="javascript:void(0);" xr:uid="{7C5E9470-62B9-AB4D-AD1B-057F21DD1CBE}"/>
    <hyperlink ref="A18" r:id="rId16" display="javascript:void(0);" xr:uid="{A5853ADD-707A-BC4F-9EB7-58CD844273B4}"/>
    <hyperlink ref="A19" r:id="rId17" display="javascript:void(0);" xr:uid="{61FD25C7-EC49-CB4A-91A3-AD020DB6FED8}"/>
    <hyperlink ref="A20" r:id="rId18" display="javascript:void(0);" xr:uid="{3FC9F195-62B6-CB4C-B742-FB2F67570E55}"/>
    <hyperlink ref="A21" r:id="rId19" display="javascript:void(0);" xr:uid="{DA4C5D68-46FA-8B45-A718-03FCAFEDE0EA}"/>
    <hyperlink ref="A22" r:id="rId20" display="javascript:void(0);" xr:uid="{70E300A6-EC9F-6A40-BAE5-19795EEB7839}"/>
    <hyperlink ref="A23" r:id="rId21" display="javascript:void(0);" xr:uid="{70D1890C-EA4D-D744-B062-3507822DEFE4}"/>
    <hyperlink ref="A24" r:id="rId22" display="javascript:void(0);" xr:uid="{AFC3F854-ACD0-7540-ADB9-414E9F074180}"/>
    <hyperlink ref="A25" r:id="rId23" display="javascript:void(0);" xr:uid="{AF05C397-70D7-474C-B53F-57F26176DA0F}"/>
    <hyperlink ref="A26" r:id="rId24" display="javascript:void(0);" xr:uid="{CFD02338-5FC6-8F4F-959D-0DD5B51CA5BB}"/>
    <hyperlink ref="A27" r:id="rId25" display="javascript:void(0);" xr:uid="{F128665F-1D3E-E24F-AC54-BEF0578C2FB5}"/>
    <hyperlink ref="A28" r:id="rId26" display="javascript:void(0);" xr:uid="{014C7B86-8662-6A46-B1D7-C4A4E9D88762}"/>
    <hyperlink ref="A29" r:id="rId27" display="javascript:void(0);" xr:uid="{8903655F-5BAC-9744-91E4-B4DBD4080EF0}"/>
    <hyperlink ref="A30" r:id="rId28" display="javascript:void(0);" xr:uid="{DDE48BE9-562B-6B49-8BD3-DD866628876E}"/>
    <hyperlink ref="A31" r:id="rId29" display="javascript:void(0);" xr:uid="{DB234D84-E6F4-3745-A8C1-5A2318228B0B}"/>
    <hyperlink ref="A32" r:id="rId30" display="javascript:void(0);" xr:uid="{909D6942-035C-AA46-9916-05C592A9A994}"/>
    <hyperlink ref="A33" r:id="rId31" display="javascript:void(0);" xr:uid="{39321321-B9D7-D24E-888F-E41C6501FCDA}"/>
    <hyperlink ref="A34" r:id="rId32" display="javascript:void(0);" xr:uid="{530B2502-F8A0-5B4E-BF42-CB6A30C6BB6F}"/>
    <hyperlink ref="A35" r:id="rId33" display="javascript:void(0);" xr:uid="{181AC056-23F8-1F41-8585-E53CF9459CAC}"/>
    <hyperlink ref="A36" r:id="rId34" display="javascript:void(0);" xr:uid="{91104BB5-B9F3-A743-AA0F-143D375FE493}"/>
    <hyperlink ref="A37" r:id="rId35" display="javascript:void(0);" xr:uid="{E25926DA-A603-4245-9FD5-108A864E19CE}"/>
    <hyperlink ref="A38" r:id="rId36" display="javascript:void(0);" xr:uid="{37917A39-36D8-3048-9B7A-0E7CACE33DDF}"/>
    <hyperlink ref="A39" r:id="rId37" display="javascript:void(0);" xr:uid="{3DBB2C1F-3434-D041-AA44-934F73A7C2DF}"/>
    <hyperlink ref="A40" r:id="rId38" display="javascript:void(0);" xr:uid="{2CC7FBEA-A7A7-6647-B8BA-51D92CD1D477}"/>
    <hyperlink ref="A41" r:id="rId39" display="javascript:void(0);" xr:uid="{47E13FB9-D769-B44D-BE73-BF56D68724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E1F1-92F0-3445-B17A-3952C7C4068A}">
  <dimension ref="A1:D38"/>
  <sheetViews>
    <sheetView workbookViewId="0">
      <selection activeCell="B11" sqref="B11"/>
    </sheetView>
  </sheetViews>
  <sheetFormatPr baseColWidth="10" defaultRowHeight="16" x14ac:dyDescent="0.2"/>
  <cols>
    <col min="1" max="1" width="22.6640625" bestFit="1" customWidth="1"/>
    <col min="2" max="3" width="9.83203125" bestFit="1" customWidth="1"/>
    <col min="4" max="4" width="10.1640625" bestFit="1" customWidth="1"/>
    <col min="5" max="5" width="5.1640625" bestFit="1" customWidth="1"/>
  </cols>
  <sheetData>
    <row r="1" spans="1:4" x14ac:dyDescent="0.2">
      <c r="A1" s="2"/>
      <c r="B1" s="7">
        <v>2023</v>
      </c>
      <c r="C1" s="6">
        <v>2024</v>
      </c>
      <c r="D1" s="8">
        <v>2025</v>
      </c>
    </row>
    <row r="2" spans="1:4" x14ac:dyDescent="0.2">
      <c r="A2" s="1" t="s">
        <v>0</v>
      </c>
      <c r="B2" s="4">
        <v>8110518</v>
      </c>
      <c r="C2" s="4">
        <v>9619278</v>
      </c>
      <c r="D2" s="4">
        <v>10588126</v>
      </c>
    </row>
    <row r="3" spans="1:4" x14ac:dyDescent="0.2">
      <c r="A3" s="1" t="s">
        <v>2</v>
      </c>
      <c r="B3" s="4">
        <v>3618178</v>
      </c>
      <c r="C3" s="4">
        <v>4009873</v>
      </c>
      <c r="D3" s="4">
        <v>4317315</v>
      </c>
    </row>
    <row r="4" spans="1:4" x14ac:dyDescent="0.2">
      <c r="A4" s="2" t="s">
        <v>1</v>
      </c>
      <c r="B4" s="5">
        <f>B2-B3</f>
        <v>4492340</v>
      </c>
      <c r="C4" s="5">
        <f>C2-C3</f>
        <v>5609405</v>
      </c>
      <c r="D4" s="5">
        <f>D2-D3</f>
        <v>6270811</v>
      </c>
    </row>
    <row r="5" spans="1:4" x14ac:dyDescent="0.2">
      <c r="A5" s="3" t="s">
        <v>3</v>
      </c>
      <c r="B5" s="9">
        <f>B4/B2</f>
        <v>0.55389063929085669</v>
      </c>
      <c r="C5" s="10">
        <f>C4/C2</f>
        <v>0.58314199880697903</v>
      </c>
      <c r="D5" s="10">
        <f>D4/D2</f>
        <v>0.59224937444076509</v>
      </c>
    </row>
    <row r="6" spans="1:4" x14ac:dyDescent="0.2">
      <c r="B6" s="9"/>
      <c r="C6" s="10">
        <f>C5-B5</f>
        <v>2.9251359516122344E-2</v>
      </c>
      <c r="D6" s="10">
        <f>D5-C5</f>
        <v>9.1073756337860523E-3</v>
      </c>
    </row>
    <row r="7" spans="1:4" x14ac:dyDescent="0.2">
      <c r="B7" s="9"/>
      <c r="C7" s="10"/>
      <c r="D7" s="10"/>
    </row>
    <row r="8" spans="1:4" x14ac:dyDescent="0.2">
      <c r="B8" s="9"/>
      <c r="C8" s="10"/>
      <c r="D8" s="10"/>
    </row>
    <row r="10" spans="1:4" x14ac:dyDescent="0.2">
      <c r="A10" s="2"/>
      <c r="B10" s="7">
        <v>2023</v>
      </c>
      <c r="C10" s="6">
        <v>2024</v>
      </c>
      <c r="D10" s="8">
        <v>2025</v>
      </c>
    </row>
    <row r="11" spans="1:4" x14ac:dyDescent="0.2">
      <c r="A11" s="1" t="s">
        <v>5</v>
      </c>
      <c r="B11" s="4">
        <v>854800</v>
      </c>
      <c r="C11" s="4">
        <v>1550190</v>
      </c>
      <c r="D11" s="4">
        <v>1814616</v>
      </c>
    </row>
    <row r="12" spans="1:4" x14ac:dyDescent="0.2">
      <c r="A12" s="1" t="s">
        <v>6</v>
      </c>
      <c r="B12" s="4">
        <v>4163</v>
      </c>
      <c r="C12" s="4">
        <v>43059</v>
      </c>
      <c r="D12" s="4">
        <v>70380</v>
      </c>
    </row>
    <row r="13" spans="1:4" x14ac:dyDescent="0.2">
      <c r="A13" s="1" t="s">
        <v>7</v>
      </c>
      <c r="B13" s="4">
        <v>477771</v>
      </c>
      <c r="C13" s="4">
        <v>625545</v>
      </c>
      <c r="D13" s="4">
        <v>761461</v>
      </c>
    </row>
    <row r="14" spans="1:4" x14ac:dyDescent="0.2">
      <c r="A14" s="1" t="s">
        <v>4</v>
      </c>
      <c r="B14" s="12">
        <f>SUM(B11:B13)</f>
        <v>1336734</v>
      </c>
      <c r="C14" s="12">
        <f>SUM(C11:C13)</f>
        <v>2218794</v>
      </c>
      <c r="D14" s="12">
        <f>SUM(D11:D13)</f>
        <v>2646457</v>
      </c>
    </row>
    <row r="15" spans="1:4" x14ac:dyDescent="0.2">
      <c r="B15" s="11"/>
      <c r="C15" s="11"/>
      <c r="D15" s="11"/>
    </row>
    <row r="16" spans="1:4" x14ac:dyDescent="0.2">
      <c r="A16" t="s">
        <v>15</v>
      </c>
      <c r="B16" s="33">
        <f>B14/B2</f>
        <v>0.16481487372323197</v>
      </c>
      <c r="C16" s="33">
        <f>C14/C2</f>
        <v>0.23066117852088275</v>
      </c>
      <c r="D16" s="33">
        <f>D14/D2</f>
        <v>0.24994574110659432</v>
      </c>
    </row>
    <row r="17" spans="1:4" x14ac:dyDescent="0.2">
      <c r="A17" t="s">
        <v>110</v>
      </c>
      <c r="B17" s="16"/>
      <c r="C17" s="37">
        <f>C16-B16</f>
        <v>6.5846304797650773E-2</v>
      </c>
      <c r="D17" s="37">
        <f>D16-C16</f>
        <v>1.9284562585711568E-2</v>
      </c>
    </row>
    <row r="18" spans="1:4" x14ac:dyDescent="0.2">
      <c r="B18" s="16"/>
      <c r="C18" s="16"/>
      <c r="D18" s="16"/>
    </row>
    <row r="19" spans="1:4" x14ac:dyDescent="0.2">
      <c r="B19" s="16"/>
      <c r="C19" s="16"/>
      <c r="D19" s="16"/>
    </row>
    <row r="20" spans="1:4" x14ac:dyDescent="0.2">
      <c r="B20" s="16"/>
      <c r="C20" s="16"/>
      <c r="D20" s="16"/>
    </row>
    <row r="21" spans="1:4" x14ac:dyDescent="0.2">
      <c r="A21" s="8" t="s">
        <v>19</v>
      </c>
      <c r="B21" s="7">
        <v>2023</v>
      </c>
      <c r="C21" s="6">
        <v>2024</v>
      </c>
      <c r="D21" s="8">
        <v>2025</v>
      </c>
    </row>
    <row r="22" spans="1:4" x14ac:dyDescent="0.2">
      <c r="A22" s="3" t="s">
        <v>17</v>
      </c>
      <c r="B22" s="4">
        <v>8110518</v>
      </c>
      <c r="C22" s="4">
        <v>9619278</v>
      </c>
      <c r="D22" s="4">
        <v>10588126</v>
      </c>
    </row>
    <row r="23" spans="1:4" ht="17" thickBot="1" x14ac:dyDescent="0.25">
      <c r="A23" s="19" t="s">
        <v>18</v>
      </c>
      <c r="B23" s="17">
        <v>6256617</v>
      </c>
      <c r="C23" s="17">
        <v>8110518</v>
      </c>
      <c r="D23" s="17">
        <v>9619278</v>
      </c>
    </row>
    <row r="24" spans="1:4" x14ac:dyDescent="0.2">
      <c r="A24" s="1" t="s">
        <v>16</v>
      </c>
      <c r="B24" s="18">
        <f>(B22-B23)/B22</f>
        <v>0.2285798514965382</v>
      </c>
      <c r="C24" s="18">
        <f>(C22-C23)/C22</f>
        <v>0.15684753055270884</v>
      </c>
      <c r="D24" s="18">
        <f>(D22-D23)/D22</f>
        <v>9.1503255628049757E-2</v>
      </c>
    </row>
    <row r="26" spans="1:4" x14ac:dyDescent="0.2">
      <c r="A26" t="s">
        <v>8</v>
      </c>
    </row>
    <row r="27" spans="1:4" x14ac:dyDescent="0.2">
      <c r="A27" t="s">
        <v>9</v>
      </c>
    </row>
    <row r="28" spans="1:4" x14ac:dyDescent="0.2">
      <c r="A28" t="s">
        <v>10</v>
      </c>
    </row>
    <row r="29" spans="1:4" x14ac:dyDescent="0.2">
      <c r="A29" t="s">
        <v>11</v>
      </c>
    </row>
    <row r="31" spans="1:4" x14ac:dyDescent="0.2">
      <c r="B31">
        <v>2023</v>
      </c>
      <c r="C31">
        <v>2024</v>
      </c>
      <c r="D31">
        <v>2025</v>
      </c>
    </row>
    <row r="32" spans="1:4" x14ac:dyDescent="0.2">
      <c r="A32" s="1" t="s">
        <v>10</v>
      </c>
      <c r="B32" s="4">
        <v>3159453</v>
      </c>
      <c r="C32" s="4">
        <v>4060577</v>
      </c>
      <c r="D32" s="4">
        <v>3980302</v>
      </c>
    </row>
    <row r="33" spans="1:4" x14ac:dyDescent="0.2">
      <c r="A33" s="1" t="s">
        <v>12</v>
      </c>
      <c r="B33" s="4">
        <v>-1447367</v>
      </c>
      <c r="C33" s="4">
        <v>-1323602</v>
      </c>
      <c r="D33" s="4">
        <v>-1442081</v>
      </c>
    </row>
    <row r="34" spans="1:4" x14ac:dyDescent="0.2">
      <c r="A34" s="1" t="s">
        <v>13</v>
      </c>
      <c r="B34" s="4">
        <v>-238672</v>
      </c>
      <c r="C34" s="4">
        <v>-184502</v>
      </c>
      <c r="D34" s="4">
        <v>-251459</v>
      </c>
    </row>
    <row r="35" spans="1:4" ht="17" thickBot="1" x14ac:dyDescent="0.25">
      <c r="A35" s="1"/>
      <c r="B35" s="13">
        <f>SUM(B32:B34)</f>
        <v>1473414</v>
      </c>
      <c r="C35" s="14">
        <f>SUM(C32:C34)</f>
        <v>2552473</v>
      </c>
      <c r="D35" s="14">
        <f>SUM(D32:D34)</f>
        <v>2286762</v>
      </c>
    </row>
    <row r="36" spans="1:4" x14ac:dyDescent="0.2">
      <c r="A36" s="1" t="s">
        <v>14</v>
      </c>
      <c r="B36" s="15">
        <v>1492198</v>
      </c>
      <c r="C36" s="15">
        <v>1631261</v>
      </c>
      <c r="D36" s="15">
        <v>1839630</v>
      </c>
    </row>
    <row r="38" spans="1:4" x14ac:dyDescent="0.2">
      <c r="A38" t="s">
        <v>8</v>
      </c>
      <c r="B38" s="54">
        <f>B35/B36</f>
        <v>0.98741185821184585</v>
      </c>
      <c r="C38" s="54">
        <f>C35/C36</f>
        <v>1.5647238547356923</v>
      </c>
      <c r="D38" s="54">
        <f>D35/D36</f>
        <v>1.2430553970091811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Buddie</dc:creator>
  <cp:lastModifiedBy>Luke Buddie</cp:lastModifiedBy>
  <dcterms:created xsi:type="dcterms:W3CDTF">2025-09-05T17:52:26Z</dcterms:created>
  <dcterms:modified xsi:type="dcterms:W3CDTF">2025-12-19T08:24:26Z</dcterms:modified>
</cp:coreProperties>
</file>