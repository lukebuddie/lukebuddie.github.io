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cha\Downloads\"/>
    </mc:Choice>
  </mc:AlternateContent>
  <xr:revisionPtr revIDLastSave="0" documentId="13_ncr:1_{D81538BC-A284-4533-8F4D-23A10193FA1F}" xr6:coauthVersionLast="47" xr6:coauthVersionMax="47" xr10:uidLastSave="{00000000-0000-0000-0000-000000000000}"/>
  <bookViews>
    <workbookView xWindow="-110" yWindow="-110" windowWidth="25820" windowHeight="15500" xr2:uid="{50D4C705-9660-694E-AFB2-246E24A49371}"/>
  </bookViews>
  <sheets>
    <sheet name="M&amp;A Modeling" sheetId="2" r:id="rId1"/>
  </sheets>
  <definedNames>
    <definedName name="CIQWBGuid" hidden="1">"a611639b-bab1-425e-aaa5-008c326fdfdb"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43588.5561574074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C74" i="2"/>
  <c r="C65" i="2"/>
  <c r="I40" i="2"/>
  <c r="H40" i="2"/>
  <c r="G40" i="2"/>
  <c r="F40" i="2"/>
  <c r="E40" i="2"/>
  <c r="D40" i="2"/>
  <c r="D41" i="2" s="1"/>
  <c r="D51" i="2" s="1"/>
  <c r="D55" i="2" s="1"/>
  <c r="C40" i="2"/>
  <c r="D38" i="2"/>
  <c r="E38" i="2" s="1"/>
  <c r="F38" i="2" s="1"/>
  <c r="G38" i="2" s="1"/>
  <c r="H38" i="2" s="1"/>
  <c r="I38" i="2" s="1"/>
  <c r="D9" i="2"/>
  <c r="E9" i="2" s="1"/>
  <c r="F9" i="2" s="1"/>
  <c r="G9" i="2" s="1"/>
  <c r="D50" i="2" l="1"/>
  <c r="E41" i="2"/>
  <c r="D49" i="2"/>
  <c r="D44" i="2"/>
  <c r="D43" i="2"/>
  <c r="D54" i="2" l="1"/>
  <c r="D52" i="2"/>
  <c r="E50" i="2"/>
  <c r="F41" i="2"/>
  <c r="E49" i="2"/>
  <c r="E44" i="2"/>
  <c r="E43" i="2"/>
  <c r="E42" i="2" s="1"/>
  <c r="E51" i="2"/>
  <c r="E55" i="2" s="1"/>
  <c r="D45" i="2"/>
  <c r="D46" i="2" s="1"/>
  <c r="D47" i="2" s="1"/>
  <c r="D42" i="2"/>
  <c r="D53" i="2" l="1"/>
  <c r="D56" i="2" s="1"/>
  <c r="D59" i="2" s="1"/>
  <c r="E52" i="2"/>
  <c r="E54" i="2"/>
  <c r="F50" i="2"/>
  <c r="G41" i="2"/>
  <c r="F49" i="2"/>
  <c r="F44" i="2"/>
  <c r="F43" i="2"/>
  <c r="F42" i="2" s="1"/>
  <c r="F51" i="2"/>
  <c r="F55" i="2" s="1"/>
  <c r="E45" i="2"/>
  <c r="E46" i="2" s="1"/>
  <c r="E47" i="2" s="1"/>
  <c r="E53" i="2" l="1"/>
  <c r="E56" i="2" s="1"/>
  <c r="E59" i="2" s="1"/>
  <c r="F52" i="2"/>
  <c r="F54" i="2"/>
  <c r="H41" i="2"/>
  <c r="G49" i="2"/>
  <c r="G44" i="2"/>
  <c r="G43" i="2"/>
  <c r="G42" i="2" s="1"/>
  <c r="G51" i="2"/>
  <c r="G55" i="2" s="1"/>
  <c r="G50" i="2"/>
  <c r="F45" i="2"/>
  <c r="F46" i="2" s="1"/>
  <c r="F47" i="2" s="1"/>
  <c r="F53" i="2"/>
  <c r="F56" i="2" l="1"/>
  <c r="F59" i="2" s="1"/>
  <c r="G45" i="2"/>
  <c r="G46" i="2" s="1"/>
  <c r="G47" i="2" s="1"/>
  <c r="G52" i="2"/>
  <c r="G54" i="2"/>
  <c r="I41" i="2"/>
  <c r="H49" i="2"/>
  <c r="H44" i="2"/>
  <c r="H43" i="2"/>
  <c r="H51" i="2"/>
  <c r="H55" i="2" s="1"/>
  <c r="H42" i="2"/>
  <c r="H50" i="2"/>
  <c r="G53" i="2" l="1"/>
  <c r="G56" i="2" s="1"/>
  <c r="H45" i="2"/>
  <c r="H46" i="2" s="1"/>
  <c r="H47" i="2" s="1"/>
  <c r="H53" i="2"/>
  <c r="H52" i="2"/>
  <c r="H54" i="2"/>
  <c r="I49" i="2"/>
  <c r="I44" i="2"/>
  <c r="I43" i="2"/>
  <c r="I42" i="2" s="1"/>
  <c r="I51" i="2"/>
  <c r="I55" i="2" s="1"/>
  <c r="I50" i="2"/>
  <c r="G59" i="2" l="1"/>
  <c r="I45" i="2"/>
  <c r="I53" i="2" s="1"/>
  <c r="I52" i="2"/>
  <c r="I54" i="2"/>
  <c r="H56" i="2"/>
  <c r="H59" i="2" s="1"/>
  <c r="I46" i="2" l="1"/>
  <c r="I47" i="2" s="1"/>
  <c r="I56" i="2" s="1"/>
  <c r="C62" i="2" s="1"/>
  <c r="I58" i="2" l="1"/>
  <c r="C61" i="2" s="1"/>
  <c r="C63" i="2" s="1"/>
  <c r="C66" i="2" s="1"/>
  <c r="C68" i="2" s="1"/>
  <c r="C20" i="2" s="1"/>
  <c r="I59" i="2" l="1"/>
  <c r="C73" i="2" l="1"/>
</calcChain>
</file>

<file path=xl/sharedStrings.xml><?xml version="1.0" encoding="utf-8"?>
<sst xmlns="http://schemas.openxmlformats.org/spreadsheetml/2006/main" count="69" uniqueCount="63">
  <si>
    <t>Sept. 2022 (A)</t>
  </si>
  <si>
    <t>2023 (F)</t>
  </si>
  <si>
    <t>2024 (F)</t>
  </si>
  <si>
    <t>2025 (F)</t>
  </si>
  <si>
    <t>2026 (F)</t>
  </si>
  <si>
    <t>2027 (F)</t>
  </si>
  <si>
    <t>2028 (F)</t>
  </si>
  <si>
    <t>Revenue growth</t>
  </si>
  <si>
    <t>Investments or Net Assets:</t>
  </si>
  <si>
    <t>Total net assets</t>
  </si>
  <si>
    <t xml:space="preserve">Revenue growth </t>
  </si>
  <si>
    <t>Gross margin</t>
  </si>
  <si>
    <t>SG&amp;A margin</t>
  </si>
  <si>
    <t>Depreciation to Net PP&amp;E</t>
  </si>
  <si>
    <t>NOWC turnover</t>
  </si>
  <si>
    <t>Net PP&amp;E turnover</t>
  </si>
  <si>
    <t>ONCA turnover</t>
  </si>
  <si>
    <t>Sales growth</t>
  </si>
  <si>
    <t>Tax rate</t>
  </si>
  <si>
    <t>Growth rate (g)</t>
  </si>
  <si>
    <t>WACC</t>
  </si>
  <si>
    <t>Revenues</t>
  </si>
  <si>
    <t>COGS</t>
  </si>
  <si>
    <t>Gross profit</t>
  </si>
  <si>
    <t>SG&amp;A</t>
  </si>
  <si>
    <t>D&amp;A</t>
  </si>
  <si>
    <t>Operating income (EBIT)</t>
  </si>
  <si>
    <t>NOPAT</t>
  </si>
  <si>
    <t>NOWC</t>
  </si>
  <si>
    <t>Net PP&amp;E</t>
  </si>
  <si>
    <t>Other noncurrent assets</t>
  </si>
  <si>
    <t>Capex</t>
  </si>
  <si>
    <t>Free cash flow (FCF)</t>
  </si>
  <si>
    <t>Terminal value</t>
  </si>
  <si>
    <t>Free cash flow with a TV</t>
  </si>
  <si>
    <t xml:space="preserve">Year </t>
  </si>
  <si>
    <t>Steady Stage</t>
  </si>
  <si>
    <t>Δ NOWC</t>
  </si>
  <si>
    <t>Δ Other noncurrent assets</t>
  </si>
  <si>
    <t xml:space="preserve">Assumptions </t>
  </si>
  <si>
    <t>FCF in SS (T+1)</t>
  </si>
  <si>
    <t>PV of FCFs in the forecasted period</t>
  </si>
  <si>
    <t xml:space="preserve">Enterprise Value </t>
  </si>
  <si>
    <t>Present value of TV</t>
  </si>
  <si>
    <t>(+) Cash and cash equivalents</t>
  </si>
  <si>
    <t>(-) Total debt</t>
  </si>
  <si>
    <t>Equity value</t>
  </si>
  <si>
    <t>Number of shares (millions)</t>
  </si>
  <si>
    <t>Price per share</t>
  </si>
  <si>
    <t>Implicit or fair price</t>
  </si>
  <si>
    <t>Actual price on 10/12/22</t>
  </si>
  <si>
    <t>Offer price by Kroger</t>
  </si>
  <si>
    <t>Premium over fair price</t>
  </si>
  <si>
    <t>Premium over actual price</t>
  </si>
  <si>
    <t xml:space="preserve">Historicals </t>
  </si>
  <si>
    <t>Sensitivity</t>
  </si>
  <si>
    <t>Group Members:</t>
  </si>
  <si>
    <t>Amanda Chang</t>
  </si>
  <si>
    <t>Luke Buddie</t>
  </si>
  <si>
    <t>Beck O'Kelly</t>
  </si>
  <si>
    <t>Henrik Ahlgren</t>
  </si>
  <si>
    <t>Gross Margin</t>
  </si>
  <si>
    <t>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</si>
</sst>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_(&quot;$&quot;* #,##0.0_);_(&quot;$&quot;* \(#,##0.0\);_(&quot;$&quot;* &quot;-&quot;??_);_(@_)"/>
    <numFmt numFmtId="165" formatCode="_(&quot;$&quot;* #,##0_);_(&quot;$&quot;* \(#,##0\);_(&quot;$&quot;* &quot;-&quot;??_);_(@_)"/>
    <numFmt numFmtId="166" formatCode="0.0%"/>
    <numFmt numFmtId="167" formatCode="0.00\x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1">
    <xf numFmtId="0" fontId="0" fillId="0" borderId="0" xfId="0"/>
    <xf numFmtId="9" fontId="0" fillId="0" borderId="0" xfId="0" applyNumberFormat="1"/>
    <xf numFmtId="9" fontId="0" fillId="0" borderId="0" xfId="1" applyFont="1"/>
    <xf numFmtId="10" fontId="0" fillId="0" borderId="0" xfId="1" applyNumberFormat="1" applyFont="1"/>
    <xf numFmtId="10" fontId="0" fillId="0" borderId="0" xfId="0" applyNumberFormat="1"/>
    <xf numFmtId="0" fontId="0" fillId="0" borderId="0" xfId="1" applyNumberFormat="1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2" fillId="2" borderId="0" xfId="0" applyFont="1" applyFill="1"/>
    <xf numFmtId="0" fontId="2" fillId="2" borderId="0" xfId="1" applyNumberFormat="1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right"/>
    </xf>
    <xf numFmtId="0" fontId="2" fillId="2" borderId="0" xfId="1" applyNumberFormat="1" applyFont="1" applyFill="1" applyAlignment="1">
      <alignment horizontal="right"/>
    </xf>
    <xf numFmtId="164" fontId="0" fillId="0" borderId="0" xfId="2" applyNumberFormat="1" applyFont="1"/>
    <xf numFmtId="164" fontId="0" fillId="0" borderId="1" xfId="2" applyNumberFormat="1" applyFont="1" applyBorder="1"/>
    <xf numFmtId="164" fontId="0" fillId="0" borderId="2" xfId="2" applyNumberFormat="1" applyFont="1" applyBorder="1"/>
    <xf numFmtId="165" fontId="0" fillId="0" borderId="0" xfId="2" applyNumberFormat="1" applyFont="1"/>
    <xf numFmtId="165" fontId="0" fillId="0" borderId="1" xfId="2" applyNumberFormat="1" applyFont="1" applyBorder="1"/>
    <xf numFmtId="165" fontId="0" fillId="0" borderId="2" xfId="2" applyNumberFormat="1" applyFont="1" applyBorder="1"/>
    <xf numFmtId="0" fontId="0" fillId="0" borderId="3" xfId="0" applyBorder="1"/>
    <xf numFmtId="164" fontId="0" fillId="0" borderId="3" xfId="2" applyNumberFormat="1" applyFont="1" applyBorder="1"/>
    <xf numFmtId="9" fontId="0" fillId="0" borderId="3" xfId="1" applyFont="1" applyBorder="1"/>
    <xf numFmtId="2" fontId="0" fillId="0" borderId="0" xfId="2" applyNumberFormat="1" applyFont="1"/>
    <xf numFmtId="9" fontId="0" fillId="0" borderId="0" xfId="1" applyFont="1" applyFill="1"/>
    <xf numFmtId="0" fontId="2" fillId="0" borderId="0" xfId="0" applyFont="1"/>
    <xf numFmtId="166" fontId="0" fillId="0" borderId="0" xfId="1" applyNumberFormat="1" applyFont="1" applyFill="1"/>
    <xf numFmtId="167" fontId="0" fillId="0" borderId="0" xfId="0" applyNumberFormat="1"/>
    <xf numFmtId="0" fontId="0" fillId="0" borderId="5" xfId="0" applyBorder="1"/>
    <xf numFmtId="0" fontId="0" fillId="0" borderId="6" xfId="0" applyBorder="1"/>
    <xf numFmtId="0" fontId="3" fillId="0" borderId="4" xfId="0" applyFont="1" applyBorder="1"/>
    <xf numFmtId="164" fontId="4" fillId="0" borderId="0" xfId="0" applyNumberFormat="1" applyFont="1"/>
    <xf numFmtId="166" fontId="3" fillId="0" borderId="0" xfId="1" applyNumberFormat="1" applyFont="1"/>
    <xf numFmtId="9" fontId="3" fillId="0" borderId="0" xfId="1" applyFont="1"/>
    <xf numFmtId="9" fontId="3" fillId="0" borderId="0" xfId="1" applyFont="1" applyFill="1"/>
    <xf numFmtId="164" fontId="0" fillId="3" borderId="0" xfId="2" applyNumberFormat="1" applyFont="1" applyFill="1"/>
    <xf numFmtId="166" fontId="3" fillId="3" borderId="0" xfId="1" applyNumberFormat="1" applyFont="1" applyFill="1"/>
    <xf numFmtId="9" fontId="3" fillId="3" borderId="0" xfId="1" applyFont="1" applyFill="1"/>
    <xf numFmtId="10" fontId="0" fillId="3" borderId="0" xfId="1" applyNumberFormat="1" applyFont="1" applyFill="1"/>
    <xf numFmtId="10" fontId="0" fillId="0" borderId="0" xfId="1" applyNumberFormat="1" applyFont="1" applyAlignment="1">
      <alignment horizontal="centerContinuous"/>
    </xf>
    <xf numFmtId="0" fontId="0" fillId="0" borderId="0" xfId="0" applyAlignment="1">
      <alignment vertical="center" textRotation="90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8F2BF-C834-4DF1-BFA3-E37A84BD4EBC}">
  <dimension ref="B2:O84"/>
  <sheetViews>
    <sheetView showGridLines="0" tabSelected="1" topLeftCell="A55" zoomScaleNormal="100" workbookViewId="0">
      <selection activeCell="F70" sqref="F70"/>
    </sheetView>
  </sheetViews>
  <sheetFormatPr defaultRowHeight="16" x14ac:dyDescent="0.4"/>
  <cols>
    <col min="1" max="1" width="3.25" customWidth="1"/>
    <col min="2" max="2" width="31.58203125" customWidth="1"/>
    <col min="3" max="10" width="15.58203125" customWidth="1"/>
  </cols>
  <sheetData>
    <row r="2" spans="2:15" x14ac:dyDescent="0.4">
      <c r="B2" s="30" t="s">
        <v>56</v>
      </c>
    </row>
    <row r="3" spans="2:15" x14ac:dyDescent="0.4">
      <c r="B3" s="28" t="s">
        <v>57</v>
      </c>
    </row>
    <row r="4" spans="2:15" x14ac:dyDescent="0.4">
      <c r="B4" s="28" t="s">
        <v>58</v>
      </c>
    </row>
    <row r="5" spans="2:15" x14ac:dyDescent="0.4">
      <c r="B5" s="28" t="s">
        <v>59</v>
      </c>
    </row>
    <row r="6" spans="2:15" x14ac:dyDescent="0.4">
      <c r="B6" s="29" t="s">
        <v>60</v>
      </c>
    </row>
    <row r="8" spans="2:15" x14ac:dyDescent="0.4">
      <c r="B8" s="9" t="s">
        <v>54</v>
      </c>
      <c r="C8" s="8"/>
      <c r="D8" s="9"/>
      <c r="E8" s="9"/>
      <c r="F8" s="9"/>
      <c r="G8" s="9"/>
    </row>
    <row r="9" spans="2:15" x14ac:dyDescent="0.4">
      <c r="B9" s="9"/>
      <c r="C9" s="9">
        <v>2018</v>
      </c>
      <c r="D9" s="9">
        <f>C9+1</f>
        <v>2019</v>
      </c>
      <c r="E9" s="9">
        <f t="shared" ref="E9:G9" si="0">D9+1</f>
        <v>2020</v>
      </c>
      <c r="F9" s="9">
        <f t="shared" si="0"/>
        <v>2021</v>
      </c>
      <c r="G9" s="9">
        <f t="shared" si="0"/>
        <v>2022</v>
      </c>
    </row>
    <row r="10" spans="2:15" x14ac:dyDescent="0.4">
      <c r="B10" t="s">
        <v>11</v>
      </c>
      <c r="C10" s="3">
        <v>0.28610000000000002</v>
      </c>
      <c r="D10" s="3">
        <v>0.28820000000000001</v>
      </c>
      <c r="E10" s="3">
        <v>0.29820000000000002</v>
      </c>
      <c r="F10" s="3">
        <v>0.29389999999999999</v>
      </c>
      <c r="G10" s="3">
        <f>C43/C41</f>
        <v>0.28890015608906633</v>
      </c>
      <c r="H10" s="3"/>
      <c r="I10" s="3"/>
      <c r="J10" s="3"/>
      <c r="K10" s="3"/>
      <c r="L10" s="3"/>
      <c r="M10" s="3"/>
      <c r="N10" s="3"/>
      <c r="O10" s="3"/>
    </row>
    <row r="11" spans="2:15" x14ac:dyDescent="0.4">
      <c r="B11" t="s">
        <v>12</v>
      </c>
      <c r="C11" s="3">
        <v>0.246</v>
      </c>
      <c r="D11" s="3">
        <v>0.24709999999999999</v>
      </c>
      <c r="E11" s="3">
        <v>0.25209999999999999</v>
      </c>
      <c r="F11" s="3">
        <v>0.23630000000000001</v>
      </c>
      <c r="G11" s="3">
        <v>0.23369999999999999</v>
      </c>
      <c r="H11" s="3"/>
      <c r="I11" s="3"/>
      <c r="J11" s="3"/>
      <c r="K11" s="3"/>
      <c r="L11" s="3"/>
      <c r="M11" s="3"/>
      <c r="N11" s="3"/>
      <c r="O11" s="3"/>
    </row>
    <row r="12" spans="2:15" x14ac:dyDescent="0.4">
      <c r="B12" t="s">
        <v>13</v>
      </c>
      <c r="C12" s="3">
        <v>0.15529999999999999</v>
      </c>
      <c r="D12" s="3">
        <v>0.1008</v>
      </c>
      <c r="E12" s="3">
        <v>8.8400000000000006E-2</v>
      </c>
      <c r="F12" s="3">
        <v>9.9400000000000002E-2</v>
      </c>
      <c r="G12" s="3">
        <v>0.10639999999999999</v>
      </c>
      <c r="H12" s="3"/>
      <c r="I12" s="3"/>
      <c r="J12" s="3"/>
      <c r="K12" s="3"/>
      <c r="L12" s="3"/>
      <c r="M12" s="3"/>
      <c r="N12" s="3"/>
      <c r="O12" s="3"/>
    </row>
    <row r="13" spans="2:15" x14ac:dyDescent="0.4">
      <c r="B13" t="s">
        <v>14</v>
      </c>
      <c r="C13" s="5">
        <v>190.36</v>
      </c>
      <c r="D13" s="5">
        <v>322.43</v>
      </c>
      <c r="E13" s="5">
        <v>-97.41</v>
      </c>
      <c r="F13" s="5">
        <v>-50.67</v>
      </c>
      <c r="G13" s="5">
        <v>-82.9</v>
      </c>
      <c r="H13" s="5"/>
      <c r="I13" s="5"/>
      <c r="J13" s="5"/>
      <c r="K13" s="5"/>
      <c r="L13" s="5"/>
      <c r="M13" s="5"/>
      <c r="N13" s="5"/>
      <c r="O13" s="5"/>
    </row>
    <row r="14" spans="2:15" x14ac:dyDescent="0.4">
      <c r="B14" t="s">
        <v>15</v>
      </c>
      <c r="C14" s="5">
        <v>6.14</v>
      </c>
      <c r="D14" s="5">
        <v>4.1399999999999997</v>
      </c>
      <c r="E14" s="5">
        <v>4.5199999999999996</v>
      </c>
      <c r="F14" s="5">
        <v>4.71</v>
      </c>
      <c r="G14" s="5">
        <v>5.04</v>
      </c>
      <c r="H14" s="5"/>
      <c r="I14" s="5"/>
      <c r="J14" s="5"/>
      <c r="K14" s="5"/>
      <c r="L14" s="5"/>
      <c r="M14" s="5"/>
      <c r="N14" s="5"/>
      <c r="O14" s="5"/>
    </row>
    <row r="15" spans="2:15" x14ac:dyDescent="0.4">
      <c r="B15" t="s">
        <v>16</v>
      </c>
      <c r="C15" s="5">
        <v>12.98</v>
      </c>
      <c r="D15" s="5">
        <v>15.91</v>
      </c>
      <c r="E15" s="5">
        <v>16.670000000000002</v>
      </c>
      <c r="F15" s="5">
        <v>15.98</v>
      </c>
      <c r="G15" s="5">
        <v>16.59</v>
      </c>
      <c r="H15" s="5"/>
      <c r="I15" s="5"/>
      <c r="J15" s="5"/>
      <c r="K15" s="5"/>
      <c r="L15" s="5"/>
      <c r="M15" s="5"/>
      <c r="N15" s="5"/>
      <c r="O15" s="5"/>
    </row>
    <row r="16" spans="2:15" x14ac:dyDescent="0.4">
      <c r="B16" t="s">
        <v>7</v>
      </c>
      <c r="C16" s="3">
        <v>1.0200000000000001E-2</v>
      </c>
      <c r="D16" s="3">
        <v>3.1699999999999999E-2</v>
      </c>
      <c r="E16" s="3">
        <v>0.1158</v>
      </c>
      <c r="F16" s="3">
        <v>3.15E-2</v>
      </c>
      <c r="G16" s="3">
        <v>4.8099999999999997E-2</v>
      </c>
      <c r="H16" s="3"/>
      <c r="I16" s="3"/>
      <c r="J16" s="3"/>
      <c r="K16" s="3"/>
      <c r="L16" s="3"/>
      <c r="M16" s="3"/>
      <c r="N16" s="3"/>
      <c r="O16" s="3"/>
    </row>
    <row r="17" spans="2:15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2:15" x14ac:dyDescent="0.4">
      <c r="B18" s="9" t="s">
        <v>55</v>
      </c>
      <c r="C18" s="8"/>
      <c r="D18" s="8"/>
      <c r="E18" s="8"/>
      <c r="F18" s="8"/>
      <c r="G18" s="8"/>
      <c r="H18" s="3"/>
      <c r="I18" s="3"/>
      <c r="J18" s="3"/>
      <c r="K18" s="3"/>
      <c r="L18" s="3"/>
      <c r="M18" s="3"/>
      <c r="N18" s="3"/>
      <c r="O18" s="3"/>
    </row>
    <row r="19" spans="2:15" ht="16" customHeight="1" x14ac:dyDescent="0.4">
      <c r="E19" s="39" t="s">
        <v>61</v>
      </c>
      <c r="F19" s="39"/>
      <c r="G19" s="3"/>
      <c r="H19" s="3"/>
      <c r="I19" s="3"/>
      <c r="J19" s="3"/>
      <c r="K19" s="3"/>
      <c r="L19" s="3"/>
      <c r="M19" s="3"/>
      <c r="N19" s="3"/>
      <c r="O19" s="3"/>
    </row>
    <row r="20" spans="2:15" ht="16" customHeight="1" x14ac:dyDescent="0.4">
      <c r="C20" s="31">
        <f>C68</f>
        <v>33.367034868250641</v>
      </c>
      <c r="D20" s="32">
        <v>0.27500000000000002</v>
      </c>
      <c r="E20" s="32">
        <v>0.28499999999999998</v>
      </c>
      <c r="F20" s="36">
        <v>0.28889999999999999</v>
      </c>
      <c r="G20" s="32">
        <v>0.29499999999999998</v>
      </c>
      <c r="H20" s="3"/>
      <c r="I20" s="3"/>
      <c r="J20" s="3"/>
      <c r="K20" s="3"/>
      <c r="L20" s="3"/>
      <c r="M20" s="3"/>
      <c r="N20" s="3"/>
      <c r="O20" s="3"/>
    </row>
    <row r="21" spans="2:15" ht="16" customHeight="1" x14ac:dyDescent="0.4">
      <c r="B21" s="40" t="s">
        <v>62</v>
      </c>
      <c r="C21" s="33">
        <v>0.04</v>
      </c>
      <c r="D21" s="14">
        <f t="dataTable" ref="D21:G24" dt2D="1" dtr="1" r1="C28" r2="C35"/>
        <v>-2.8152002261626468</v>
      </c>
      <c r="E21" s="14">
        <v>48.545890100814439</v>
      </c>
      <c r="F21" s="14">
        <v>68.576715328335496</v>
      </c>
      <c r="G21" s="14">
        <v>99.906980427791709</v>
      </c>
      <c r="H21" s="3"/>
      <c r="I21" s="3"/>
      <c r="J21" s="3"/>
      <c r="K21" s="3"/>
      <c r="L21" s="3"/>
      <c r="M21" s="3"/>
      <c r="N21" s="3"/>
      <c r="O21" s="3"/>
    </row>
    <row r="22" spans="2:15" ht="16" customHeight="1" x14ac:dyDescent="0.4">
      <c r="B22" s="40"/>
      <c r="C22" s="37">
        <v>0.02</v>
      </c>
      <c r="D22" s="14">
        <v>-5.7511069750320196</v>
      </c>
      <c r="E22" s="14">
        <v>22.391441113660537</v>
      </c>
      <c r="F22" s="35">
        <v>33.367034868250641</v>
      </c>
      <c r="G22" s="14">
        <v>50.533989202353219</v>
      </c>
      <c r="H22" s="3"/>
      <c r="I22" s="3"/>
      <c r="J22" s="3"/>
      <c r="K22" s="3"/>
      <c r="L22" s="3"/>
      <c r="M22" s="3"/>
      <c r="N22" s="3"/>
      <c r="O22" s="3"/>
    </row>
    <row r="23" spans="2:15" ht="16" customHeight="1" x14ac:dyDescent="0.4">
      <c r="B23" s="40"/>
      <c r="C23" s="34">
        <v>0.01</v>
      </c>
      <c r="D23" s="14">
        <v>-6.3382883248058937</v>
      </c>
      <c r="E23" s="14">
        <v>17.160551316229764</v>
      </c>
      <c r="F23" s="14">
        <v>26.32509877623367</v>
      </c>
      <c r="G23" s="14">
        <v>40.659390957265501</v>
      </c>
      <c r="H23" s="3"/>
      <c r="I23" s="3"/>
      <c r="J23" s="3"/>
      <c r="K23" s="3"/>
      <c r="L23" s="3"/>
      <c r="M23" s="3"/>
      <c r="N23" s="3"/>
      <c r="O23" s="3"/>
    </row>
    <row r="24" spans="2:15" ht="16" customHeight="1" x14ac:dyDescent="0.4">
      <c r="B24" s="40"/>
      <c r="C24" s="34">
        <v>0</v>
      </c>
      <c r="D24" s="14">
        <v>-6.7297425579884784</v>
      </c>
      <c r="E24" s="14">
        <v>13.673291451275905</v>
      </c>
      <c r="F24" s="14">
        <v>21.630474714889022</v>
      </c>
      <c r="G24" s="14">
        <v>34.076325460540367</v>
      </c>
      <c r="H24" s="3"/>
      <c r="I24" s="3"/>
      <c r="J24" s="3"/>
      <c r="K24" s="3"/>
      <c r="L24" s="3"/>
      <c r="M24" s="3"/>
      <c r="N24" s="3"/>
      <c r="O24" s="3"/>
    </row>
    <row r="25" spans="2:15" x14ac:dyDescent="0.4"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2:15" x14ac:dyDescent="0.4">
      <c r="B26" s="9" t="s">
        <v>39</v>
      </c>
      <c r="C26" s="8"/>
    </row>
    <row r="27" spans="2:15" x14ac:dyDescent="0.4">
      <c r="B27" t="s">
        <v>17</v>
      </c>
      <c r="C27" s="3">
        <v>0.02</v>
      </c>
    </row>
    <row r="28" spans="2:15" x14ac:dyDescent="0.4">
      <c r="B28" t="s">
        <v>11</v>
      </c>
      <c r="C28" s="38">
        <v>0.28889999999999999</v>
      </c>
    </row>
    <row r="29" spans="2:15" x14ac:dyDescent="0.4">
      <c r="B29" t="s">
        <v>12</v>
      </c>
      <c r="C29" s="3">
        <v>0.246</v>
      </c>
    </row>
    <row r="30" spans="2:15" x14ac:dyDescent="0.4">
      <c r="B30" t="s">
        <v>18</v>
      </c>
      <c r="C30" s="3">
        <v>0.27</v>
      </c>
    </row>
    <row r="31" spans="2:15" x14ac:dyDescent="0.4">
      <c r="B31" t="s">
        <v>14</v>
      </c>
      <c r="C31" s="27">
        <v>-82.9</v>
      </c>
    </row>
    <row r="32" spans="2:15" x14ac:dyDescent="0.4">
      <c r="B32" t="s">
        <v>15</v>
      </c>
      <c r="C32" s="27">
        <v>5.04</v>
      </c>
    </row>
    <row r="33" spans="2:10" x14ac:dyDescent="0.4">
      <c r="B33" t="s">
        <v>16</v>
      </c>
      <c r="C33" s="27">
        <v>16.59</v>
      </c>
    </row>
    <row r="34" spans="2:10" x14ac:dyDescent="0.4">
      <c r="B34" t="s">
        <v>13</v>
      </c>
      <c r="C34" s="3">
        <v>0.10639999999999999</v>
      </c>
    </row>
    <row r="35" spans="2:10" x14ac:dyDescent="0.4">
      <c r="B35" t="s">
        <v>19</v>
      </c>
      <c r="C35" s="38">
        <v>0.02</v>
      </c>
    </row>
    <row r="36" spans="2:10" x14ac:dyDescent="0.4">
      <c r="B36" t="s">
        <v>20</v>
      </c>
      <c r="C36" s="3">
        <v>0.06</v>
      </c>
    </row>
    <row r="38" spans="2:10" x14ac:dyDescent="0.4">
      <c r="B38" s="9" t="s">
        <v>35</v>
      </c>
      <c r="C38" s="10">
        <v>0</v>
      </c>
      <c r="D38" s="9">
        <f>C38+1</f>
        <v>1</v>
      </c>
      <c r="E38" s="9">
        <f t="shared" ref="E38:I38" si="1">D38+1</f>
        <v>2</v>
      </c>
      <c r="F38" s="9">
        <f t="shared" si="1"/>
        <v>3</v>
      </c>
      <c r="G38" s="9">
        <f t="shared" si="1"/>
        <v>4</v>
      </c>
      <c r="H38" s="9">
        <f t="shared" si="1"/>
        <v>5</v>
      </c>
      <c r="I38" s="9">
        <f t="shared" si="1"/>
        <v>6</v>
      </c>
      <c r="J38" s="8"/>
    </row>
    <row r="39" spans="2:10" x14ac:dyDescent="0.4">
      <c r="B39" s="11"/>
      <c r="C39" s="13" t="s">
        <v>0</v>
      </c>
      <c r="D39" s="12" t="s">
        <v>1</v>
      </c>
      <c r="E39" s="12" t="s">
        <v>2</v>
      </c>
      <c r="F39" s="12" t="s">
        <v>3</v>
      </c>
      <c r="G39" s="12" t="s">
        <v>4</v>
      </c>
      <c r="H39" s="12" t="s">
        <v>5</v>
      </c>
      <c r="I39" s="12" t="s">
        <v>6</v>
      </c>
      <c r="J39" s="12" t="s">
        <v>36</v>
      </c>
    </row>
    <row r="40" spans="2:10" x14ac:dyDescent="0.4">
      <c r="B40" t="s">
        <v>10</v>
      </c>
      <c r="C40" s="4">
        <f>$C$27</f>
        <v>0.02</v>
      </c>
      <c r="D40" s="4">
        <f t="shared" ref="D40:I40" si="2">$C$27</f>
        <v>0.02</v>
      </c>
      <c r="E40" s="4">
        <f t="shared" si="2"/>
        <v>0.02</v>
      </c>
      <c r="F40" s="4">
        <f t="shared" si="2"/>
        <v>0.02</v>
      </c>
      <c r="G40" s="4">
        <f t="shared" si="2"/>
        <v>0.02</v>
      </c>
      <c r="H40" s="4">
        <f t="shared" si="2"/>
        <v>0.02</v>
      </c>
      <c r="I40" s="4">
        <f t="shared" si="2"/>
        <v>0.02</v>
      </c>
    </row>
    <row r="41" spans="2:10" x14ac:dyDescent="0.4">
      <c r="B41" t="s">
        <v>21</v>
      </c>
      <c r="C41" s="17">
        <v>75341.600000000006</v>
      </c>
      <c r="D41" s="17">
        <f>C41*(1+D40)</f>
        <v>76848.432000000001</v>
      </c>
      <c r="E41" s="17">
        <f t="shared" ref="E41:I41" si="3">D41*(1+E40)</f>
        <v>78385.400640000007</v>
      </c>
      <c r="F41" s="17">
        <f t="shared" si="3"/>
        <v>79953.108652800001</v>
      </c>
      <c r="G41" s="17">
        <f t="shared" si="3"/>
        <v>81552.170825855996</v>
      </c>
      <c r="H41" s="17">
        <f t="shared" si="3"/>
        <v>83183.214242373113</v>
      </c>
      <c r="I41" s="17">
        <f t="shared" si="3"/>
        <v>84846.878527220571</v>
      </c>
    </row>
    <row r="42" spans="2:10" x14ac:dyDescent="0.4">
      <c r="B42" t="s">
        <v>22</v>
      </c>
      <c r="C42" s="17">
        <v>53575.4</v>
      </c>
      <c r="D42" s="17">
        <f>D41-D43</f>
        <v>54646.919995200005</v>
      </c>
      <c r="E42" s="17">
        <f t="shared" ref="E42:I42" si="4">E41-E43</f>
        <v>55739.858395104005</v>
      </c>
      <c r="F42" s="17">
        <f t="shared" si="4"/>
        <v>56854.655563006083</v>
      </c>
      <c r="G42" s="17">
        <f t="shared" si="4"/>
        <v>57991.7486742662</v>
      </c>
      <c r="H42" s="17">
        <f t="shared" si="4"/>
        <v>59151.583647751526</v>
      </c>
      <c r="I42" s="17">
        <f t="shared" si="4"/>
        <v>60334.615320706551</v>
      </c>
    </row>
    <row r="43" spans="2:10" x14ac:dyDescent="0.4">
      <c r="B43" t="s">
        <v>23</v>
      </c>
      <c r="C43" s="17">
        <v>21766.2</v>
      </c>
      <c r="D43" s="17">
        <f>D41*$C$28</f>
        <v>22201.512004799999</v>
      </c>
      <c r="E43" s="17">
        <f t="shared" ref="E43:I43" si="5">E41*$C$28</f>
        <v>22645.542244896002</v>
      </c>
      <c r="F43" s="17">
        <f t="shared" si="5"/>
        <v>23098.453089793918</v>
      </c>
      <c r="G43" s="17">
        <f t="shared" si="5"/>
        <v>23560.422151589795</v>
      </c>
      <c r="H43" s="17">
        <f t="shared" si="5"/>
        <v>24031.630594621591</v>
      </c>
      <c r="I43" s="17">
        <f t="shared" si="5"/>
        <v>24512.263206514021</v>
      </c>
    </row>
    <row r="44" spans="2:10" x14ac:dyDescent="0.4">
      <c r="B44" t="s">
        <v>24</v>
      </c>
      <c r="C44" s="17">
        <v>17607.5</v>
      </c>
      <c r="D44" s="17">
        <f>D41*$C$29</f>
        <v>18904.714272000001</v>
      </c>
      <c r="E44" s="17">
        <f t="shared" ref="E44:I44" si="6">E41*$C$29</f>
        <v>19282.808557440003</v>
      </c>
      <c r="F44" s="17">
        <f t="shared" si="6"/>
        <v>19668.464728588799</v>
      </c>
      <c r="G44" s="17">
        <f t="shared" si="6"/>
        <v>20061.834023160576</v>
      </c>
      <c r="H44" s="17">
        <f t="shared" si="6"/>
        <v>20463.070703623787</v>
      </c>
      <c r="I44" s="17">
        <f t="shared" si="6"/>
        <v>20872.33211769626</v>
      </c>
    </row>
    <row r="45" spans="2:10" x14ac:dyDescent="0.4">
      <c r="B45" t="s">
        <v>25</v>
      </c>
      <c r="C45" s="17">
        <v>1590.3</v>
      </c>
      <c r="D45" s="17">
        <f>D50*$C$34</f>
        <v>1622.3557866666667</v>
      </c>
      <c r="E45" s="17">
        <f t="shared" ref="E45:I45" si="7">E50*$C$34</f>
        <v>1654.8029024</v>
      </c>
      <c r="F45" s="17">
        <f t="shared" si="7"/>
        <v>1687.8989604479998</v>
      </c>
      <c r="G45" s="17">
        <f t="shared" si="7"/>
        <v>1721.6569396569598</v>
      </c>
      <c r="H45" s="17">
        <f t="shared" si="7"/>
        <v>1756.0900784500991</v>
      </c>
      <c r="I45" s="17">
        <f t="shared" si="7"/>
        <v>1791.2118800191008</v>
      </c>
    </row>
    <row r="46" spans="2:10" x14ac:dyDescent="0.4">
      <c r="B46" t="s">
        <v>26</v>
      </c>
      <c r="C46" s="17">
        <v>2568.4</v>
      </c>
      <c r="D46" s="17">
        <f>D43-D44-D45</f>
        <v>1674.4419461333312</v>
      </c>
      <c r="E46" s="17">
        <f t="shared" ref="E46:I46" si="8">E43-E44-E45</f>
        <v>1707.9307850559987</v>
      </c>
      <c r="F46" s="17">
        <f t="shared" si="8"/>
        <v>1742.0894007571201</v>
      </c>
      <c r="G46" s="17">
        <f t="shared" si="8"/>
        <v>1776.9311887722592</v>
      </c>
      <c r="H46" s="17">
        <f t="shared" si="8"/>
        <v>1812.4698125477044</v>
      </c>
      <c r="I46" s="17">
        <f t="shared" si="8"/>
        <v>1848.7192087986598</v>
      </c>
    </row>
    <row r="47" spans="2:10" x14ac:dyDescent="0.4">
      <c r="B47" t="s">
        <v>27</v>
      </c>
      <c r="C47" s="17">
        <v>1874.9</v>
      </c>
      <c r="D47" s="17">
        <f>D46*(1-$C$30)</f>
        <v>1222.3426206773318</v>
      </c>
      <c r="E47" s="17">
        <f t="shared" ref="E47:I47" si="9">E46*(1-$C$30)</f>
        <v>1246.789473090879</v>
      </c>
      <c r="F47" s="17">
        <f t="shared" si="9"/>
        <v>1271.7252625526976</v>
      </c>
      <c r="G47" s="17">
        <f t="shared" si="9"/>
        <v>1297.1597678037492</v>
      </c>
      <c r="H47" s="17">
        <f t="shared" si="9"/>
        <v>1323.1029631598242</v>
      </c>
      <c r="I47" s="17">
        <f t="shared" si="9"/>
        <v>1349.5650224230217</v>
      </c>
    </row>
    <row r="48" spans="2:10" x14ac:dyDescent="0.4">
      <c r="B48" s="6" t="s">
        <v>8</v>
      </c>
      <c r="C48" s="18"/>
      <c r="D48" s="18"/>
      <c r="E48" s="18"/>
      <c r="F48" s="18"/>
      <c r="G48" s="18"/>
      <c r="H48" s="18"/>
      <c r="I48" s="18"/>
    </row>
    <row r="49" spans="2:9" x14ac:dyDescent="0.4">
      <c r="B49" t="s">
        <v>28</v>
      </c>
      <c r="C49" s="17">
        <v>-908.8</v>
      </c>
      <c r="D49" s="17">
        <f>D41/$C$31</f>
        <v>-927.00159227985523</v>
      </c>
      <c r="E49" s="17">
        <f t="shared" ref="E49:I49" si="10">E41/$C$31</f>
        <v>-945.54162412545236</v>
      </c>
      <c r="F49" s="17">
        <f t="shared" si="10"/>
        <v>-964.45245660796138</v>
      </c>
      <c r="G49" s="17">
        <f t="shared" si="10"/>
        <v>-983.74150574012049</v>
      </c>
      <c r="H49" s="17">
        <f t="shared" si="10"/>
        <v>-1003.4163358549229</v>
      </c>
      <c r="I49" s="17">
        <f t="shared" si="10"/>
        <v>-1023.4846625720213</v>
      </c>
    </row>
    <row r="50" spans="2:9" x14ac:dyDescent="0.4">
      <c r="B50" t="s">
        <v>29</v>
      </c>
      <c r="C50" s="17">
        <v>14947.5</v>
      </c>
      <c r="D50" s="17">
        <f>D41/$C$32</f>
        <v>15247.704761904763</v>
      </c>
      <c r="E50" s="17">
        <f t="shared" ref="E50:I50" si="11">E41/$C$32</f>
        <v>15552.658857142858</v>
      </c>
      <c r="F50" s="17">
        <f t="shared" si="11"/>
        <v>15863.712034285714</v>
      </c>
      <c r="G50" s="17">
        <f t="shared" si="11"/>
        <v>16180.986274971428</v>
      </c>
      <c r="H50" s="17">
        <f t="shared" si="11"/>
        <v>16504.606000470856</v>
      </c>
      <c r="I50" s="17">
        <f t="shared" si="11"/>
        <v>16834.698120480272</v>
      </c>
    </row>
    <row r="51" spans="2:9" x14ac:dyDescent="0.4">
      <c r="B51" t="s">
        <v>30</v>
      </c>
      <c r="C51" s="17">
        <v>4542</v>
      </c>
      <c r="D51" s="17">
        <f>D41/$C$33</f>
        <v>4632.2141048824597</v>
      </c>
      <c r="E51" s="17">
        <f t="shared" ref="E51:I51" si="12">E41/$C$33</f>
        <v>4724.8583869801087</v>
      </c>
      <c r="F51" s="17">
        <f t="shared" si="12"/>
        <v>4819.3555547197111</v>
      </c>
      <c r="G51" s="17">
        <f t="shared" si="12"/>
        <v>4915.7426658141048</v>
      </c>
      <c r="H51" s="17">
        <f t="shared" si="12"/>
        <v>5014.0575191303869</v>
      </c>
      <c r="I51" s="17">
        <f t="shared" si="12"/>
        <v>5114.3386695129939</v>
      </c>
    </row>
    <row r="52" spans="2:9" x14ac:dyDescent="0.4">
      <c r="B52" s="7" t="s">
        <v>9</v>
      </c>
      <c r="C52" s="19">
        <v>18580.7</v>
      </c>
      <c r="D52" s="19">
        <f>SUM(D49:D51)</f>
        <v>18952.917274507367</v>
      </c>
      <c r="E52" s="19">
        <f t="shared" ref="E52:I52" si="13">SUM(E49:E51)</f>
        <v>19331.975619997516</v>
      </c>
      <c r="F52" s="19">
        <f t="shared" si="13"/>
        <v>19718.615132397463</v>
      </c>
      <c r="G52" s="19">
        <f t="shared" si="13"/>
        <v>20112.987435045412</v>
      </c>
      <c r="H52" s="19">
        <f t="shared" si="13"/>
        <v>20515.24718374632</v>
      </c>
      <c r="I52" s="19">
        <f t="shared" si="13"/>
        <v>20925.552127421244</v>
      </c>
    </row>
    <row r="53" spans="2:9" x14ac:dyDescent="0.4">
      <c r="B53" t="s">
        <v>31</v>
      </c>
      <c r="C53" s="17"/>
      <c r="D53" s="17">
        <f>D50-C50+D45</f>
        <v>1922.5605485714293</v>
      </c>
      <c r="E53" s="17">
        <f t="shared" ref="E53:I53" si="14">E50-D50+E45</f>
        <v>1959.7569976380958</v>
      </c>
      <c r="F53" s="17">
        <f t="shared" si="14"/>
        <v>1998.9521375908557</v>
      </c>
      <c r="G53" s="17">
        <f t="shared" si="14"/>
        <v>2038.931180342674</v>
      </c>
      <c r="H53" s="17">
        <f t="shared" si="14"/>
        <v>2079.7098039495268</v>
      </c>
      <c r="I53" s="17">
        <f t="shared" si="14"/>
        <v>2121.3040000285173</v>
      </c>
    </row>
    <row r="54" spans="2:9" x14ac:dyDescent="0.4">
      <c r="B54" t="s">
        <v>37</v>
      </c>
      <c r="C54" s="17"/>
      <c r="D54" s="17">
        <f>D49-C49</f>
        <v>-18.201592279855277</v>
      </c>
      <c r="E54" s="17">
        <f t="shared" ref="E54:I54" si="15">E49-D49</f>
        <v>-18.540031845597127</v>
      </c>
      <c r="F54" s="17">
        <f t="shared" si="15"/>
        <v>-18.910832482509022</v>
      </c>
      <c r="G54" s="17">
        <f t="shared" si="15"/>
        <v>-19.289049132159107</v>
      </c>
      <c r="H54" s="17">
        <f t="shared" si="15"/>
        <v>-19.674830114802376</v>
      </c>
      <c r="I54" s="17">
        <f t="shared" si="15"/>
        <v>-20.068326717098444</v>
      </c>
    </row>
    <row r="55" spans="2:9" x14ac:dyDescent="0.4">
      <c r="B55" t="s">
        <v>38</v>
      </c>
      <c r="C55" s="17"/>
      <c r="D55" s="17">
        <f>D51-C51</f>
        <v>90.214104882459651</v>
      </c>
      <c r="E55" s="17">
        <f t="shared" ref="E55:I55" si="16">E51-D51</f>
        <v>92.644282097649011</v>
      </c>
      <c r="F55" s="17">
        <f t="shared" si="16"/>
        <v>94.497167739602446</v>
      </c>
      <c r="G55" s="17">
        <f t="shared" si="16"/>
        <v>96.387111094393731</v>
      </c>
      <c r="H55" s="17">
        <f t="shared" si="16"/>
        <v>98.314853316282097</v>
      </c>
      <c r="I55" s="17">
        <f t="shared" si="16"/>
        <v>100.28115038260694</v>
      </c>
    </row>
    <row r="56" spans="2:9" x14ac:dyDescent="0.4">
      <c r="B56" s="7" t="s">
        <v>32</v>
      </c>
      <c r="C56" s="19"/>
      <c r="D56" s="19">
        <f>D47+D45-D53-D54-D55</f>
        <v>850.12534616996481</v>
      </c>
      <c r="E56" s="19">
        <f t="shared" ref="E56:I56" si="17">E47+E45-E53-E54-E55</f>
        <v>867.73112760073138</v>
      </c>
      <c r="F56" s="19">
        <f t="shared" si="17"/>
        <v>885.08575015274823</v>
      </c>
      <c r="G56" s="19">
        <f t="shared" si="17"/>
        <v>902.78746515580042</v>
      </c>
      <c r="H56" s="19">
        <f t="shared" si="17"/>
        <v>920.84321445891658</v>
      </c>
      <c r="I56" s="19">
        <f t="shared" si="17"/>
        <v>939.26007874809648</v>
      </c>
    </row>
    <row r="57" spans="2:9" x14ac:dyDescent="0.4">
      <c r="B57" t="s">
        <v>40</v>
      </c>
      <c r="C57" s="17"/>
      <c r="D57" s="17"/>
      <c r="E57" s="17"/>
      <c r="F57" s="17"/>
      <c r="G57" s="17"/>
      <c r="H57" s="17"/>
      <c r="I57" s="17"/>
    </row>
    <row r="58" spans="2:9" x14ac:dyDescent="0.4">
      <c r="B58" t="s">
        <v>33</v>
      </c>
      <c r="C58" s="17"/>
      <c r="D58" s="17"/>
      <c r="E58" s="17"/>
      <c r="F58" s="17"/>
      <c r="G58" s="17"/>
      <c r="H58" s="17"/>
      <c r="I58" s="17">
        <f>(I56*(1+C35))/(C36-C35)</f>
        <v>23951.132008076467</v>
      </c>
    </row>
    <row r="59" spans="2:9" x14ac:dyDescent="0.4">
      <c r="B59" s="7" t="s">
        <v>34</v>
      </c>
      <c r="C59" s="19"/>
      <c r="D59" s="19">
        <f>SUM(D56:D58)</f>
        <v>850.12534616996481</v>
      </c>
      <c r="E59" s="19">
        <f t="shared" ref="E59:I59" si="18">SUM(E56:E58)</f>
        <v>867.73112760073138</v>
      </c>
      <c r="F59" s="19">
        <f t="shared" si="18"/>
        <v>885.08575015274823</v>
      </c>
      <c r="G59" s="19">
        <f t="shared" si="18"/>
        <v>902.78746515580042</v>
      </c>
      <c r="H59" s="19">
        <f t="shared" si="18"/>
        <v>920.84321445891658</v>
      </c>
      <c r="I59" s="19">
        <f t="shared" si="18"/>
        <v>24890.392086824562</v>
      </c>
    </row>
    <row r="61" spans="2:9" x14ac:dyDescent="0.4">
      <c r="B61" t="s">
        <v>43</v>
      </c>
      <c r="C61" s="14">
        <f>I58/(1+C36)^I38</f>
        <v>16884.602964555615</v>
      </c>
    </row>
    <row r="62" spans="2:9" x14ac:dyDescent="0.4">
      <c r="B62" t="s">
        <v>41</v>
      </c>
      <c r="C62" s="14">
        <f>NPV(C36,D56:I56)</f>
        <v>4382.7588620370925</v>
      </c>
    </row>
    <row r="63" spans="2:9" x14ac:dyDescent="0.4">
      <c r="B63" s="7" t="s">
        <v>42</v>
      </c>
      <c r="C63" s="16">
        <f>SUM(C61:C62)</f>
        <v>21267.361826592707</v>
      </c>
    </row>
    <row r="64" spans="2:9" x14ac:dyDescent="0.4">
      <c r="B64" t="s">
        <v>44</v>
      </c>
      <c r="C64" s="14">
        <v>3410.4</v>
      </c>
    </row>
    <row r="65" spans="2:9" x14ac:dyDescent="0.4">
      <c r="B65" t="s">
        <v>45</v>
      </c>
      <c r="C65" s="14">
        <f>6567.8+1481.5</f>
        <v>8049.3</v>
      </c>
    </row>
    <row r="66" spans="2:9" x14ac:dyDescent="0.4">
      <c r="B66" s="7" t="s">
        <v>46</v>
      </c>
      <c r="C66" s="16">
        <f>C63+C64-C65</f>
        <v>16628.461826592709</v>
      </c>
    </row>
    <row r="67" spans="2:9" x14ac:dyDescent="0.4">
      <c r="B67" t="s">
        <v>47</v>
      </c>
      <c r="C67" s="23">
        <v>498.35</v>
      </c>
    </row>
    <row r="68" spans="2:9" x14ac:dyDescent="0.4">
      <c r="B68" s="20" t="s">
        <v>48</v>
      </c>
      <c r="C68" s="21">
        <f>C66/C67</f>
        <v>33.367034868250641</v>
      </c>
    </row>
    <row r="69" spans="2:9" x14ac:dyDescent="0.4">
      <c r="C69" s="14"/>
    </row>
    <row r="70" spans="2:9" x14ac:dyDescent="0.4">
      <c r="B70" s="6" t="s">
        <v>49</v>
      </c>
      <c r="C70" s="15">
        <v>33.4</v>
      </c>
    </row>
    <row r="71" spans="2:9" x14ac:dyDescent="0.4">
      <c r="B71" t="s">
        <v>50</v>
      </c>
      <c r="C71" s="14">
        <v>25.7</v>
      </c>
      <c r="D71" s="1"/>
    </row>
    <row r="72" spans="2:9" x14ac:dyDescent="0.4">
      <c r="B72" t="s">
        <v>51</v>
      </c>
      <c r="C72" s="14">
        <v>34.1</v>
      </c>
    </row>
    <row r="73" spans="2:9" x14ac:dyDescent="0.4">
      <c r="B73" t="s">
        <v>52</v>
      </c>
      <c r="C73" s="2">
        <f>(C72/C70)-1</f>
        <v>2.0958083832335328E-2</v>
      </c>
      <c r="D73" s="2"/>
    </row>
    <row r="74" spans="2:9" x14ac:dyDescent="0.4">
      <c r="B74" s="20" t="s">
        <v>53</v>
      </c>
      <c r="C74" s="22">
        <f>(C72/C71)-1</f>
        <v>0.32684824902723753</v>
      </c>
      <c r="I74" s="2"/>
    </row>
    <row r="75" spans="2:9" x14ac:dyDescent="0.4">
      <c r="D75" s="24"/>
      <c r="E75" s="24"/>
      <c r="F75" s="24"/>
      <c r="G75" s="24"/>
      <c r="H75" s="24"/>
      <c r="I75" s="24"/>
    </row>
    <row r="76" spans="2:9" x14ac:dyDescent="0.4">
      <c r="D76" s="25"/>
    </row>
    <row r="80" spans="2:9" x14ac:dyDescent="0.4">
      <c r="D80" s="26"/>
      <c r="E80" s="26"/>
      <c r="F80" s="26"/>
      <c r="G80" s="26"/>
      <c r="H80" s="26"/>
      <c r="I80" s="26"/>
    </row>
    <row r="83" spans="2:3" x14ac:dyDescent="0.4">
      <c r="B83" s="24"/>
      <c r="C83" s="26"/>
    </row>
    <row r="84" spans="2:3" x14ac:dyDescent="0.4">
      <c r="B84" s="24"/>
      <c r="C84" s="26"/>
    </row>
  </sheetData>
  <mergeCells count="1">
    <mergeCell ref="B21:B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M&amp;A Modeling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Escamilla</dc:creator>
  <cp:lastModifiedBy>Amanda Chang</cp:lastModifiedBy>
  <dcterms:created xsi:type="dcterms:W3CDTF">2025-10-17T20:22:17Z</dcterms:created>
  <dcterms:modified xsi:type="dcterms:W3CDTF">2025-10-21T18:14:03Z</dcterms:modified>
</cp:coreProperties>
</file>